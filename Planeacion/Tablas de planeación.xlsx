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OneDrive\Documents\U\Semestre5\IS_I\sistema-pos\Planeacion\"/>
    </mc:Choice>
  </mc:AlternateContent>
  <xr:revisionPtr revIDLastSave="0" documentId="13_ncr:1_{B49422A2-9D8C-4A9C-B4D7-2055D3A7F189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BackLog de Producto" sheetId="1" r:id="rId1"/>
    <sheet name="Sprints" sheetId="2" r:id="rId2"/>
    <sheet name="Tabla Complejidad" sheetId="3" r:id="rId3"/>
    <sheet name="HUG" sheetId="4" r:id="rId4"/>
    <sheet name="Costos" sheetId="5" r:id="rId5"/>
    <sheet name="Riesgos" sheetId="6" r:id="rId6"/>
    <sheet name="Identificación de Riesg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5" l="1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H20" i="5" s="1"/>
  <c r="H21" i="5" s="1"/>
</calcChain>
</file>

<file path=xl/sharedStrings.xml><?xml version="1.0" encoding="utf-8"?>
<sst xmlns="http://schemas.openxmlformats.org/spreadsheetml/2006/main" count="749" uniqueCount="476">
  <si>
    <t>Nombre del Proyecto:</t>
  </si>
  <si>
    <t>Sistema de Facturación para Cacharrería</t>
  </si>
  <si>
    <t>Integrantes:</t>
  </si>
  <si>
    <t xml:space="preserve">Nombres </t>
  </si>
  <si>
    <t>Roles</t>
  </si>
  <si>
    <t>Darío Alexander Cardenas Guerrero</t>
  </si>
  <si>
    <t>Analista</t>
  </si>
  <si>
    <t>Jors Eduar Solarte Castillo</t>
  </si>
  <si>
    <t>Jonatan David Bolaños Jojoa</t>
  </si>
  <si>
    <t>Desarrollador</t>
  </si>
  <si>
    <t>Rhony Daniel Martínez Benavides</t>
  </si>
  <si>
    <t>Andres Fernández Ipiales</t>
  </si>
  <si>
    <t>Tester</t>
  </si>
  <si>
    <t>Carlos Eduardo Dorado Joaquí</t>
  </si>
  <si>
    <t>Alcance del Proyecto de Implementación</t>
  </si>
  <si>
    <t>No. Item</t>
  </si>
  <si>
    <t>ID de la Historia Epica</t>
  </si>
  <si>
    <t>Nombre de la Epica</t>
  </si>
  <si>
    <t>ID de la Historia de Usuario</t>
  </si>
  <si>
    <t>Nombre corto de la Historia de Usuario</t>
  </si>
  <si>
    <t>E1</t>
  </si>
  <si>
    <t>Gestión de Usuario</t>
  </si>
  <si>
    <t>E1-HU1</t>
  </si>
  <si>
    <t>Crear Usuario</t>
  </si>
  <si>
    <t>E1-HU2</t>
  </si>
  <si>
    <t>Modificar Usuario</t>
  </si>
  <si>
    <t>E1-HU3</t>
  </si>
  <si>
    <t>Consultar Usuarios</t>
  </si>
  <si>
    <t>E1-HU4</t>
  </si>
  <si>
    <t>Eliminar Usuario</t>
  </si>
  <si>
    <t>E2</t>
  </si>
  <si>
    <t>Gestión de Caja</t>
  </si>
  <si>
    <t>E2-HU1</t>
  </si>
  <si>
    <t>Abrir Caja</t>
  </si>
  <si>
    <t>E2-HU2</t>
  </si>
  <si>
    <t>Cerrar Caja (Generar Informe de Ventas)</t>
  </si>
  <si>
    <t>E2-HU3</t>
  </si>
  <si>
    <t>Arquear Caja</t>
  </si>
  <si>
    <t>E2-HU4</t>
  </si>
  <si>
    <t>Crear Venta(métodos de pago, finalizar pago, guardar pdf)</t>
  </si>
  <si>
    <t>E3</t>
  </si>
  <si>
    <t>Administración de Catalogo</t>
  </si>
  <si>
    <t>E3-HU1</t>
  </si>
  <si>
    <t>Cargar Producto</t>
  </si>
  <si>
    <t>E3-HU2</t>
  </si>
  <si>
    <t>Consultar Catálogo</t>
  </si>
  <si>
    <t>E3-HU3</t>
  </si>
  <si>
    <t>Eliminar Producto</t>
  </si>
  <si>
    <t>E3-HU4</t>
  </si>
  <si>
    <t>Editar Producto</t>
  </si>
  <si>
    <t>E4</t>
  </si>
  <si>
    <t>Gestión de Ventas</t>
  </si>
  <si>
    <t>E4-HU1</t>
  </si>
  <si>
    <t>Consultar Registro de Ventas</t>
  </si>
  <si>
    <t>E4-HU2</t>
  </si>
  <si>
    <t xml:space="preserve">Eliminar Venta </t>
  </si>
  <si>
    <t>E5</t>
  </si>
  <si>
    <t>Gestión de Sedes (Admin Gral)</t>
  </si>
  <si>
    <t>E5-HU1</t>
  </si>
  <si>
    <t>Crear Sede</t>
  </si>
  <si>
    <t>E5-HU2</t>
  </si>
  <si>
    <t>Consultar Sedes</t>
  </si>
  <si>
    <t>E5-HU3</t>
  </si>
  <si>
    <t>Eliminar Sede</t>
  </si>
  <si>
    <t>E6</t>
  </si>
  <si>
    <t>Acceso al Sistema</t>
  </si>
  <si>
    <t>E6-HU1</t>
  </si>
  <si>
    <t>Iniciar y Cerrar Sesión</t>
  </si>
  <si>
    <t>Nota: Estos identificadores deberán coincidir con la información que se coloque en el User Story Mapping</t>
  </si>
  <si>
    <t>PRIMER SPRINT</t>
  </si>
  <si>
    <t>ID Épica</t>
  </si>
  <si>
    <t>Nombre Épica</t>
  </si>
  <si>
    <t>ID Historia</t>
  </si>
  <si>
    <t>Historia de Usuario</t>
  </si>
  <si>
    <t>Gestión de Sedes</t>
  </si>
  <si>
    <t>SEGUNDO SPRINT</t>
  </si>
  <si>
    <t>Administración de Catálogo</t>
  </si>
  <si>
    <t>Crear Venta(métodos de pago, finalizar pago, guardar factura pdf)</t>
  </si>
  <si>
    <t>TERCER SPRINT</t>
  </si>
  <si>
    <t>E4-HU3</t>
  </si>
  <si>
    <t>Eliminar Venta (solo usuario Administrador)</t>
  </si>
  <si>
    <t>Eliminar Usuarios</t>
  </si>
  <si>
    <t>Cerrar Caja (Generar Informe Ventas)</t>
  </si>
  <si>
    <t>HU- Nombre corto</t>
  </si>
  <si>
    <t>Puntaje Final</t>
  </si>
  <si>
    <t>Crear usuario</t>
  </si>
  <si>
    <t>Modificar usuario</t>
  </si>
  <si>
    <t>Consultar usuario</t>
  </si>
  <si>
    <t>Eliminar usuario</t>
  </si>
  <si>
    <t>Abrir caja</t>
  </si>
  <si>
    <t>Cerrar caja (diariamente)</t>
  </si>
  <si>
    <t>Arquear caja</t>
  </si>
  <si>
    <t>Crear venta (genera factura)</t>
  </si>
  <si>
    <t>Cargar producto</t>
  </si>
  <si>
    <t>Consultar catalogo</t>
  </si>
  <si>
    <t>Eliminar producto</t>
  </si>
  <si>
    <t>Editar producto</t>
  </si>
  <si>
    <t>Consultar registro de ventas</t>
  </si>
  <si>
    <t>Eliminar venta</t>
  </si>
  <si>
    <t>Crear sede</t>
  </si>
  <si>
    <t>Consultar sedes</t>
  </si>
  <si>
    <t>Eliminar sede</t>
  </si>
  <si>
    <t>Iniciar y cerrar sesión</t>
  </si>
  <si>
    <t>Desarrollo ágil: Historias de usuario y criterios de aceptación</t>
  </si>
  <si>
    <t>Enunciado de la historia</t>
  </si>
  <si>
    <t>Criterios de aceptación</t>
  </si>
  <si>
    <t>Identificador (ID) de la historia</t>
  </si>
  <si>
    <t>Rol</t>
  </si>
  <si>
    <t>Característica / Funcionalidad (Quiero)</t>
  </si>
  <si>
    <t>Razón / Resultado (Para)</t>
  </si>
  <si>
    <t>Número (#) de escenario</t>
  </si>
  <si>
    <t>Criterio de aceptación (Título)</t>
  </si>
  <si>
    <t>Contexto</t>
  </si>
  <si>
    <t>Evento</t>
  </si>
  <si>
    <t>Resultado / Comportamiento esperado</t>
  </si>
  <si>
    <t>Crear Usuario Cajero</t>
  </si>
  <si>
    <t>Administrador Local</t>
  </si>
  <si>
    <t>Crear un usuario cuyo rol sea Cajero.</t>
  </si>
  <si>
    <t>Para que gestione y manipule el sistema de venta y facturacion.</t>
  </si>
  <si>
    <t>Registro de usuario exitoso</t>
  </si>
  <si>
    <r>
      <rPr>
        <sz val="11"/>
        <color theme="1"/>
        <rFont val="Calibri"/>
      </rPr>
      <t xml:space="preserve">Dado que ingresé como administrador local al módulo de gestión de usuarios (P2 </t>
    </r>
    <r>
      <rPr>
        <i/>
        <sz val="11"/>
        <color theme="1"/>
        <rFont val="Calibri"/>
      </rPr>
      <t>path: Inicio de Sesión - Dashboard - Gestión de Usarios</t>
    </r>
    <r>
      <rPr>
        <sz val="11"/>
        <color theme="1"/>
        <rFont val="Calibri"/>
      </rPr>
      <t xml:space="preserve">)  y he seleccionado crear usuario y he ingresado los datos solicitados correctamente (P2.1.1 </t>
    </r>
    <r>
      <rPr>
        <i/>
        <sz val="11"/>
        <color theme="1"/>
        <rFont val="Calibri"/>
      </rPr>
      <t>path: Inicio de Sesión - Dashboard - Gestión de Usarios - Crear Cajero</t>
    </r>
    <r>
      <rPr>
        <sz val="11"/>
        <color theme="1"/>
        <rFont val="Calibri"/>
      </rPr>
      <t>)</t>
    </r>
  </si>
  <si>
    <t>cuando creo el cajero</t>
  </si>
  <si>
    <t xml:space="preserve">el sistema debe lanzar un mensaje que confirma que el registro del cajero fue exitoso (P2.1.1.1) </t>
  </si>
  <si>
    <t>rhony</t>
  </si>
  <si>
    <t>Registro fallido por datos incompatibles</t>
  </si>
  <si>
    <r>
      <rPr>
        <sz val="11"/>
        <color theme="1"/>
        <rFont val="Calibri"/>
      </rPr>
      <t xml:space="preserve">Dado que ingresé como administrador local al módulo de gestión de usuarios (P2 </t>
    </r>
    <r>
      <rPr>
        <i/>
        <sz val="11"/>
        <color theme="1"/>
        <rFont val="Calibri"/>
      </rPr>
      <t>path: Inicio de Sesión - Dashboard - Gestión de Usarios</t>
    </r>
    <r>
      <rPr>
        <sz val="11"/>
        <color theme="1"/>
        <rFont val="Calibri"/>
      </rPr>
      <t xml:space="preserve">)  y he seleccionado crear usuario y he ingresado los datos solicitados pero cuyos tipos son incorrectos (P2.1.2 </t>
    </r>
    <r>
      <rPr>
        <i/>
        <sz val="11"/>
        <color theme="1"/>
        <rFont val="Calibri"/>
      </rPr>
      <t>path: Inicio de Sesión - Dashboard - Gestión de Usarios - Crear Cajero</t>
    </r>
    <r>
      <rPr>
        <sz val="11"/>
        <color theme="1"/>
        <rFont val="Calibri"/>
      </rPr>
      <t>)</t>
    </r>
  </si>
  <si>
    <t>el sistema debe lanzar un pequeño mensaje en la misma interfaz advirtiendo lo sucedido y marca el campo inválido</t>
  </si>
  <si>
    <t>Registro fallido por campos obligatorios vacíos</t>
  </si>
  <si>
    <r>
      <rPr>
        <sz val="11"/>
        <color theme="1"/>
        <rFont val="Calibri"/>
      </rPr>
      <t xml:space="preserve">Dado que ingresé como administrador local al módulo de gestión de usuarios (P2 </t>
    </r>
    <r>
      <rPr>
        <i/>
        <sz val="11"/>
        <color theme="1"/>
        <rFont val="Calibri"/>
      </rPr>
      <t>path: Inicio de Sesión - Dashboard - Gestión de Usarios</t>
    </r>
    <r>
      <rPr>
        <sz val="11"/>
        <color theme="1"/>
        <rFont val="Calibri"/>
      </rPr>
      <t xml:space="preserve">)  y he seleccionado crear usuario pero he dejado campos obligatorios vacíos (P2.1.3 </t>
    </r>
    <r>
      <rPr>
        <i/>
        <sz val="11"/>
        <color theme="1"/>
        <rFont val="Calibri"/>
      </rPr>
      <t>path: Inicio de Sesión - Dashboard - Gestión de Usarios - Crear Cajero</t>
    </r>
    <r>
      <rPr>
        <sz val="11"/>
        <color theme="1"/>
        <rFont val="Calibri"/>
      </rPr>
      <t>)</t>
    </r>
  </si>
  <si>
    <t>el sistema debe lanzar un pequeño mensaje en la misma interfaz advirtiendo lo sucedido y marca el campo vacío</t>
  </si>
  <si>
    <t>Registro fallido por cajero duplicado</t>
  </si>
  <si>
    <r>
      <rPr>
        <sz val="11"/>
        <color theme="1"/>
        <rFont val="Calibri"/>
      </rPr>
      <t xml:space="preserve">Dado que ingresé como administrador local al módulo de gestión de usuarios (P2 </t>
    </r>
    <r>
      <rPr>
        <i/>
        <sz val="11"/>
        <color theme="1"/>
        <rFont val="Calibri"/>
      </rPr>
      <t>path: Inicio de Sesión - Dashboard - Gestión de Usarios</t>
    </r>
    <r>
      <rPr>
        <sz val="11"/>
        <color theme="1"/>
        <rFont val="Calibri"/>
      </rPr>
      <t xml:space="preserve">)  y he seleccionado crear usuario pero ingresé un número de identificación ya registrado (P2.1.4 </t>
    </r>
    <r>
      <rPr>
        <i/>
        <sz val="11"/>
        <color theme="1"/>
        <rFont val="Calibri"/>
      </rPr>
      <t>path: Inicio de Sesión - Dashboard - Gestión de Usarios - Crear Cajero</t>
    </r>
    <r>
      <rPr>
        <sz val="11"/>
        <color theme="1"/>
        <rFont val="Calibri"/>
      </rPr>
      <t>)</t>
    </r>
  </si>
  <si>
    <t>el sistema debe lanzar un pequeño mensaje en la misma interfaz advirtiendo que ya hay un usuario registrado con ese número de identificación y marca el campo del número de identificación</t>
  </si>
  <si>
    <t>Crear Usuario Administrador</t>
  </si>
  <si>
    <t>Administrador General</t>
  </si>
  <si>
    <t>Crear un usuario cuyo rol sea Administrador Local.</t>
  </si>
  <si>
    <t>Que gestione, administre y manipule roles y procesos dentro del sistema por sede.</t>
  </si>
  <si>
    <r>
      <rPr>
        <sz val="11"/>
        <color theme="1"/>
        <rFont val="Calibri"/>
      </rPr>
      <t xml:space="preserve">Dado que ingresé como administrador general al módulo de gestión de usuarios (P2 </t>
    </r>
    <r>
      <rPr>
        <i/>
        <sz val="11"/>
        <color theme="1"/>
        <rFont val="Calibri"/>
      </rPr>
      <t>path: Inicio de Sesión - Dashboard - Gestión de Usarios</t>
    </r>
    <r>
      <rPr>
        <sz val="11"/>
        <color theme="1"/>
        <rFont val="Calibri"/>
      </rPr>
      <t xml:space="preserve">)  y he seleccionado crear usuario y he ingresado los datos solicitados correctamente (P2.2.1 </t>
    </r>
    <r>
      <rPr>
        <i/>
        <sz val="11"/>
        <color theme="1"/>
        <rFont val="Calibri"/>
      </rPr>
      <t>path: Inicio de Sesión - Dashboard - Gestión de Usarios - Crear Administrador Local</t>
    </r>
    <r>
      <rPr>
        <sz val="11"/>
        <color theme="1"/>
        <rFont val="Calibri"/>
      </rPr>
      <t>)</t>
    </r>
  </si>
  <si>
    <t>cuando creo el administrador local</t>
  </si>
  <si>
    <t xml:space="preserve">el sistema debe lanzar un mensaje que confirma que el registro del administrador fue exitoso (P2.2.1.1) </t>
  </si>
  <si>
    <r>
      <rPr>
        <sz val="11"/>
        <color theme="1"/>
        <rFont val="Calibri"/>
      </rPr>
      <t xml:space="preserve">Dado que ingresé como administrador general al módulo de gestión de usuarios (P2 </t>
    </r>
    <r>
      <rPr>
        <i/>
        <sz val="11"/>
        <color theme="1"/>
        <rFont val="Calibri"/>
      </rPr>
      <t>path: Inicio de Sesión - Dashboard - Gestión de Usarios</t>
    </r>
    <r>
      <rPr>
        <sz val="11"/>
        <color theme="1"/>
        <rFont val="Calibri"/>
      </rPr>
      <t xml:space="preserve">)  y he seleccionado crear usuario y he ingresado los datos solicitados pero cuyos tipos son incorrectos (P2.2.2 </t>
    </r>
    <r>
      <rPr>
        <i/>
        <sz val="11"/>
        <color theme="1"/>
        <rFont val="Calibri"/>
      </rPr>
      <t>path: Inicio de Sesión - Dashboard - Gestión de Usarios - Crear Cajero</t>
    </r>
    <r>
      <rPr>
        <sz val="11"/>
        <color theme="1"/>
        <rFont val="Calibri"/>
      </rPr>
      <t>)</t>
    </r>
  </si>
  <si>
    <t>el sistema debe lanzar un pequeño mensaje en la misma interfaz advirtiendo lo sucedido y marcar el campo inválido</t>
  </si>
  <si>
    <r>
      <rPr>
        <sz val="11"/>
        <color theme="1"/>
        <rFont val="Calibri"/>
      </rPr>
      <t xml:space="preserve">Dado que ingresé como administrador general al módulo de gestión de usuarios (P2 </t>
    </r>
    <r>
      <rPr>
        <i/>
        <sz val="11"/>
        <color theme="1"/>
        <rFont val="Calibri"/>
      </rPr>
      <t>path: Inicio de Sesión - Dashboard - Gestión de Usarios</t>
    </r>
    <r>
      <rPr>
        <sz val="11"/>
        <color theme="1"/>
        <rFont val="Calibri"/>
      </rPr>
      <t xml:space="preserve">)  y he seleccionado crear usuario pero he dejado campos obligatorios vacíos (P2.2.3 </t>
    </r>
    <r>
      <rPr>
        <i/>
        <sz val="11"/>
        <color theme="1"/>
        <rFont val="Calibri"/>
      </rPr>
      <t>path: Inicio de Sesión - Dashboard - Gestión de Usarios - Crear Cajero</t>
    </r>
    <r>
      <rPr>
        <sz val="11"/>
        <color theme="1"/>
        <rFont val="Calibri"/>
      </rPr>
      <t>)</t>
    </r>
  </si>
  <si>
    <t>el sistema debe lanzar un pequeño mensaje en la misma interfaz advirtiendo lo sucedido y marcar el (los) campo(s) vacío(s)</t>
  </si>
  <si>
    <r>
      <rPr>
        <sz val="11"/>
        <color theme="1"/>
        <rFont val="Calibri"/>
      </rPr>
      <t xml:space="preserve">Dado que ingresé como administrador general al módulo de gestión de usuarios (P2 </t>
    </r>
    <r>
      <rPr>
        <i/>
        <sz val="11"/>
        <color theme="1"/>
        <rFont val="Calibri"/>
      </rPr>
      <t>path: Inicio de Sesión - Dashboard - Gestión de Usarios</t>
    </r>
    <r>
      <rPr>
        <sz val="11"/>
        <color theme="1"/>
        <rFont val="Calibri"/>
      </rPr>
      <t xml:space="preserve">)  y he seleccionado crear usuario pero ingresé un número de identificación ya registrado (P2.2.4 </t>
    </r>
    <r>
      <rPr>
        <i/>
        <sz val="11"/>
        <color theme="1"/>
        <rFont val="Calibri"/>
      </rPr>
      <t>path: Inicio de Sesión - Dashboard - Gestión de Usarios - Crear Cajero</t>
    </r>
    <r>
      <rPr>
        <sz val="11"/>
        <color theme="1"/>
        <rFont val="Calibri"/>
      </rPr>
      <t>)</t>
    </r>
  </si>
  <si>
    <t>Modificar Cajero</t>
  </si>
  <si>
    <t>Administrador local</t>
  </si>
  <si>
    <t>Editar datos y estado de un cajero existente.</t>
  </si>
  <si>
    <t>Mantener la información actualizada.</t>
  </si>
  <si>
    <t>Modificación exitosa</t>
  </si>
  <si>
    <r>
      <rPr>
        <sz val="11"/>
        <color theme="1"/>
        <rFont val="Calibri"/>
      </rPr>
      <t xml:space="preserve">Dado que ingresé como administrador local al módulo de gestión de usuarios (P2 </t>
    </r>
    <r>
      <rPr>
        <i/>
        <sz val="11"/>
        <color theme="1"/>
        <rFont val="Calibri"/>
      </rPr>
      <t>path: Inicio de Sesión - Dashboard - Gestión de Usarios</t>
    </r>
    <r>
      <rPr>
        <sz val="11"/>
        <color theme="1"/>
        <rFont val="Calibri"/>
      </rPr>
      <t xml:space="preserve">) y he seleccionado el logo de edición en la fila del cajero a modificar y accedo al formulario desplegado modificando correctamente los datos deseados (P2.3.1 </t>
    </r>
    <r>
      <rPr>
        <i/>
        <sz val="11"/>
        <color theme="1"/>
        <rFont val="Calibri"/>
      </rPr>
      <t>path: Inicio de Sesión - Dashboard - Gestión de Usarios - Modificar Cajero</t>
    </r>
    <r>
      <rPr>
        <sz val="11"/>
        <color theme="1"/>
        <rFont val="Calibri"/>
      </rPr>
      <t>)</t>
    </r>
  </si>
  <si>
    <t>cuando modifico el cajero</t>
  </si>
  <si>
    <t>el sistema debe mostrar una modal (P2.3.1.1) para confirmar los cambios que se realizarán al cajero</t>
  </si>
  <si>
    <t>Modificación fallida por datos incompatibles</t>
  </si>
  <si>
    <r>
      <rPr>
        <sz val="11"/>
        <color theme="1"/>
        <rFont val="Calibri"/>
      </rPr>
      <t xml:space="preserve">Dado que ingresé como administrador al módulo de gestión de usuarios (P2) y he seleccionado el logo de edición en la fila del cajero a modificar y accedo al formulario desplegado modificando la información pero ingresando datos incompatibles con los tipos de los datos (P2.3.2 </t>
    </r>
    <r>
      <rPr>
        <i/>
        <sz val="11"/>
        <color theme="1"/>
        <rFont val="Calibri"/>
      </rPr>
      <t>path: Inicio de Sesión - Dashboard - Gestión de Usarios - Modificar Cajero</t>
    </r>
    <r>
      <rPr>
        <sz val="11"/>
        <color theme="1"/>
        <rFont val="Calibri"/>
      </rPr>
      <t>)</t>
    </r>
  </si>
  <si>
    <t>cuando modifico el usuario</t>
  </si>
  <si>
    <t>Modificación fallida por campos vacíos</t>
  </si>
  <si>
    <r>
      <rPr>
        <sz val="11"/>
        <color theme="1"/>
        <rFont val="Calibri"/>
      </rPr>
      <t xml:space="preserve">Dado que ingresé como administrador al módulo de gestión de usuarios (P2) y he seleccionado el logo de edición en la fila del cajero a modificar y accedo al formulario desplegado modificando los datos pero dejando campos obligatorios vacíos (P2.3.3 </t>
    </r>
    <r>
      <rPr>
        <i/>
        <sz val="11"/>
        <color theme="1"/>
        <rFont val="Calibri"/>
      </rPr>
      <t>path: Inicio de Sesión - Dashboard - Gestión de Usarios - Modificar Cajero</t>
    </r>
    <r>
      <rPr>
        <sz val="11"/>
        <color theme="1"/>
        <rFont val="Calibri"/>
      </rPr>
      <t>)</t>
    </r>
  </si>
  <si>
    <t>Modificación fallida por actividad del usuario</t>
  </si>
  <si>
    <r>
      <rPr>
        <sz val="11"/>
        <color theme="1"/>
        <rFont val="Calibri"/>
      </rPr>
      <t xml:space="preserve">Dado que ingresé como administrador al módulo de gestión de usuarios (P2) y he seleccionado el logo de edición en la fila del cajero a modificar y accedo al formulario desplegado modifcando los datos pero cuando el usuario se encuentra vinculado a una caja abierta (está trabajando en el momento en dicha caja) (P2.3.1 </t>
    </r>
    <r>
      <rPr>
        <i/>
        <sz val="11"/>
        <color theme="1"/>
        <rFont val="Calibri"/>
      </rPr>
      <t>path: Inicio de Sesión - Dashboard - Gestión de Usarios - Modificar Cajero</t>
    </r>
    <r>
      <rPr>
        <sz val="11"/>
        <color theme="1"/>
        <rFont val="Calibri"/>
      </rPr>
      <t>)</t>
    </r>
  </si>
  <si>
    <t>el sistema debe mostrar una modal (P2.3.1.2) que advierte que el usuario que se intenta modificar se encuentra actualmente trabajando en una caja</t>
  </si>
  <si>
    <t>Modificar Admin Local</t>
  </si>
  <si>
    <t>Administrador general</t>
  </si>
  <si>
    <t>Editar datos y estado de un administrador local existente.</t>
  </si>
  <si>
    <r>
      <rPr>
        <sz val="11"/>
        <color theme="1"/>
        <rFont val="Calibri"/>
      </rPr>
      <t xml:space="preserve">Dado que ingresé como administrador general al módulo de gestión de usuarios (P2 </t>
    </r>
    <r>
      <rPr>
        <i/>
        <sz val="11"/>
        <color theme="1"/>
        <rFont val="Calibri"/>
      </rPr>
      <t>path: Inicio de Sesión - Dashboard - Gestión de Usarios</t>
    </r>
    <r>
      <rPr>
        <sz val="11"/>
        <color theme="1"/>
        <rFont val="Calibri"/>
      </rPr>
      <t xml:space="preserve">) y he seleccionado el logo de edición en la fila del administrador a modificar y accedo al formulario desplegado modificando correctamente los datos deseados (P2.4.1 </t>
    </r>
    <r>
      <rPr>
        <i/>
        <sz val="11"/>
        <color theme="1"/>
        <rFont val="Calibri"/>
      </rPr>
      <t>path: Inicio de Sesión - Dashboard - Gestión de Usarios - Modificar Admin Local</t>
    </r>
    <r>
      <rPr>
        <sz val="11"/>
        <color theme="1"/>
        <rFont val="Calibri"/>
      </rPr>
      <t>)</t>
    </r>
  </si>
  <si>
    <t>el sistema debe mostrar una modal (P2.4.1.1) que informa que los datos del usuario han sido modificados exitosamente</t>
  </si>
  <si>
    <r>
      <rPr>
        <sz val="11"/>
        <color theme="1"/>
        <rFont val="Calibri"/>
      </rPr>
      <t xml:space="preserve">Dado que ingresé como administrador general al módulo de gestión de usuarios (P2) y he seleccionado el logo de edición en la fila del administrador a modificar y accedo al formulario desplegado modificando la información pero ingresando datos incompatibles con los tipos de los datos (P2.4.2 </t>
    </r>
    <r>
      <rPr>
        <i/>
        <sz val="11"/>
        <color theme="1"/>
        <rFont val="Calibri"/>
      </rPr>
      <t>path: Inicio de Sesión - Dashboard - Gestión de Usarios - Modificar Admin Local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</si>
  <si>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Dado que ingresé como administrador general al módulo de gestión de usuarios (P2) y he seleccionado el logo de edición en la fila del administrador a modificar y accedo al formulario desplegado modificando los datos pero dejando campos obligatorios vacíos (P2.4.3 </t>
    </r>
    <r>
      <rPr>
        <i/>
        <sz val="11"/>
        <color theme="1"/>
        <rFont val="Calibri"/>
      </rPr>
      <t>path: Inicio de Sesión - Dashboard - Gestión de Usarios - Modificar Admin Local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</si>
  <si>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Dado que ingresé como administrador general al módulo de gestión de usuarios (P2) y he seleccionado el logo de edición en la fila del administrador local a modificar y accedo al formulario desplegado modifcando los datos pero cuando el usuario se encuentra vinculado a una caja abierta (está trabajando en el momento en dicha caja) (P2.3.1 </t>
    </r>
    <r>
      <rPr>
        <i/>
        <sz val="11"/>
        <color theme="1"/>
        <rFont val="Calibri"/>
      </rPr>
      <t>path: Inicio de Sesión - Dashboard - Gestión de Usarios - Modificar Cajero</t>
    </r>
    <r>
      <rPr>
        <sz val="11"/>
        <color theme="1"/>
        <rFont val="Calibri"/>
      </rPr>
      <t>)</t>
    </r>
  </si>
  <si>
    <t>el sistema debe mostrar una modal (P2.4.1.2) que advierte que el administrador que se intenta modificar se encuentra actualmente trabajando en una caja</t>
  </si>
  <si>
    <t>Consultar usuarios</t>
  </si>
  <si>
    <t>Administrador local, administrador general</t>
  </si>
  <si>
    <t>Buscar usuarios por nombre, documento, rol o estado y ver su detalle.</t>
  </si>
  <si>
    <t>Verificar información y dar soporte rápido.</t>
  </si>
  <si>
    <t xml:space="preserve">Búsqueda por criterios múltiples
</t>
  </si>
  <si>
    <t>Dado que ingresé a (P#) y existen usuarios con diferentes atributos</t>
  </si>
  <si>
    <t>cuando aplico filtros (nombre, documento, rol, estado) y ejecuto la búsqueda</t>
  </si>
  <si>
    <t>el sistema lista usuarios coincidentes, resalta coincidencias y conserva filtros</t>
  </si>
  <si>
    <t>jors</t>
  </si>
  <si>
    <t>consultar detalle del usuario</t>
  </si>
  <si>
    <t>Dado que ingresé al módulo de gestión de usuarios (P2) y realicé una búsqueda con resultados visibles</t>
  </si>
  <si>
    <t>el sistema debe mostrar una vista detallada con datos completos del usuario (nombre, documento, rol, estado, historial de actividad).</t>
  </si>
  <si>
    <t>Búsqueda sin resultados</t>
  </si>
  <si>
    <t>Dado que ingresé al módulo de gestión de usuarios (P2) y realicé una búsqueda con filtros que no coinciden con ningún usuario</t>
  </si>
  <si>
    <t>cuando ejecuto la búsqueda</t>
  </si>
  <si>
    <t>el sistema debe mostrar un mensaje indicando que no se encontraron usuarios con esos criterios.</t>
  </si>
  <si>
    <t>Error en la búsqueda por conexión</t>
  </si>
  <si>
    <t>Dado que ingresé al módulo de gestión de usuarios (P2) y realicé una búsqueda con cualquier criterio</t>
  </si>
  <si>
    <t>cuando intento ejecutar la búsqueda pero ocurre un error de conexión con el servidor</t>
  </si>
  <si>
    <t>el sistema debe mostrar un mensaje notificando que no fue posible completar la búsqueda y sugerir reintentar.</t>
  </si>
  <si>
    <t>Dar de baja (inactivar) un usuario manteniendo su historial.</t>
  </si>
  <si>
    <t>Controlar accesos sin perder trazabilidad.</t>
  </si>
  <si>
    <t>Eliminación exitosa</t>
  </si>
  <si>
    <t>Dado que ingresé al módulo de gestión de usuarios (P2), seleccioné un usuario válido y confirmé la eliminación</t>
  </si>
  <si>
    <t>cuando elimino el usuario</t>
  </si>
  <si>
    <t>el sistema debe desactivar al usuario, mantener su historial y mostrar un mensaje confirmando la operación.</t>
  </si>
  <si>
    <t>Eliminación cancelada</t>
  </si>
  <si>
    <t>Dado que ingresé al módulo de gestión de usuarios (P2), seleccioné un usuario válido y el sistema mostró la confirmación de eliminación</t>
  </si>
  <si>
    <t>cuando cancelo la acción</t>
  </si>
  <si>
    <t>el sistema debe conservar al usuario activo y mostrar un mensaje indicando que la eliminación fue cancelada.</t>
  </si>
  <si>
    <t>Eliminación fallida por dependencias activas</t>
  </si>
  <si>
    <t>cuando el usuario tiene operaciones pendientes (ejemplo: caja abierta, ventas activas)</t>
  </si>
  <si>
    <t>el sistema debe mostrar un mensaje indicando que no es posible eliminarlo hasta resolver las dependencias.</t>
  </si>
  <si>
    <t>Eliminación fallida por error de conexión</t>
  </si>
  <si>
    <t>cuando ocurre un error de conexión con el servidor</t>
  </si>
  <si>
    <t>el sistema debe mostrar un mensaje notificando que la operación no se completó e invitar a reintentar.</t>
  </si>
  <si>
    <t>Cajero y administrador local</t>
  </si>
  <si>
    <t>Abrir la caja registrando sede, terminal, monto inicial y observaciones.</t>
  </si>
  <si>
    <t>Iniciar la jornada y habilitar ventas.</t>
  </si>
  <si>
    <t>Apertura exitosa</t>
  </si>
  <si>
    <t>Dado que inicié sesión como cajero o administrador local y accedí al módulo de cajas (P4), ingresé todos los datos requeridos (sede, terminal, monto inicial, observaciones) correctamente</t>
  </si>
  <si>
    <t>cuando confirmo la apertura</t>
  </si>
  <si>
    <t>el sistema debe registrar la caja como abierta y mostrar un mensaje confirmando la apertura exitosa.</t>
  </si>
  <si>
    <t>Apertura fallida por campos vacíos</t>
  </si>
  <si>
    <t>Dado que inicié sesión como cajero o administrador local y accedí al módulo de cajas (P4), pero dejé campos obligatorios vacíos</t>
  </si>
  <si>
    <t>local y accedí al módulo de cajas (P4), pero dejé campos obligatorios vacíos
cuando confirmo la apertura</t>
  </si>
  <si>
    <t>Apertura fallida por caja ya abierta</t>
  </si>
  <si>
    <t>Dado que inicié sesión como cajero y accedí al módulo de cajas (P4)</t>
  </si>
  <si>
    <t>cuando intento abrir una caja, pero ya existe una caja abierta para ese cajero en la jornada actual</t>
  </si>
  <si>
    <t>el sistema debe mostrar un mensaje notificando que no es posible abrir más de una caja activa.</t>
  </si>
  <si>
    <t>Apertura fallida por error de conexión</t>
  </si>
  <si>
    <t>Dado que inicié sesión como cajero o administrador local y accedí al módulo de cajas (P4), ingresé los datos solicitados</t>
  </si>
  <si>
    <t>cuando confirmo la apertura y ocurre un error de conexión</t>
  </si>
  <si>
    <t>el sistema debe mostrar un mensaje indicando que la operación no pudo completarse e invitar a reintentar.</t>
  </si>
  <si>
    <t>Cerrar la caja con conteo por medio de pago.</t>
  </si>
  <si>
    <t>Consolidar el día, bloquear nuevas ventas y emitir reporte.</t>
  </si>
  <si>
    <t>Cierre exitoso</t>
  </si>
  <si>
    <t>Dado que inicié sesión como cajero y seleccioné la opción Cerrar Caja al final de la jornada, habiendo conciliado todos los valores</t>
  </si>
  <si>
    <t>cuando cierro la caja</t>
  </si>
  <si>
    <t>el sistema debe registrar el cierre y mostrar un mensaje de confirmación indicando que el cierre fue exitoso</t>
  </si>
  <si>
    <t>andres</t>
  </si>
  <si>
    <t>Cierre fallido por diferencias</t>
  </si>
  <si>
    <t>Dado que inicié sesión como cajero y seleccioné Cerrar Caja, pero los montos registrados no coinciden con los valores esperados</t>
  </si>
  <si>
    <t>el sistema debe mostrar un mensaje de advertencia indicando que existen diferencias y no permitir el cierre</t>
  </si>
  <si>
    <t>Cierre fallido por campos vacíos</t>
  </si>
  <si>
    <t>Dado que inicié sesión como cajero y seleccioné Cerrar Caja, pero no ingresé uno o más campos obligatorios (ej: monto final, firma, fecha)</t>
  </si>
  <si>
    <t>el sistema debe mostrar un mensaje resaltando los campos obligatorios faltantes</t>
  </si>
  <si>
    <t>Cierre fallido por caja inexistente</t>
  </si>
  <si>
    <t>Dado que inicié sesión como cajero y seleccioné Cerrar Caja, pero no existe caja abierta en la jornada actual</t>
  </si>
  <si>
    <t>el sistema debe mostrar una notificación indicando que no hay caja activa para cerrar</t>
  </si>
  <si>
    <t>Administrador local, Cajero</t>
  </si>
  <si>
    <t>Comparar ventas del sistema vs. efectivo/medios reales y registrar diferencias.</t>
  </si>
  <si>
    <t>Control y auditoría de la operación.</t>
  </si>
  <si>
    <t>[Titulo del escenario]</t>
  </si>
  <si>
    <t>En caso que [contexto] y/ o [contexto]</t>
  </si>
  <si>
    <t>cuando [evento]</t>
  </si>
  <si>
    <t>el sistema [resultado / comportamiento]</t>
  </si>
  <si>
    <t xml:space="preserve">Cajero, Administrador local
</t>
  </si>
  <si>
    <t>Registrar la venta con ítems, impuestos, cliente y medio de pago; emitir factura y actualizar inventario.</t>
  </si>
  <si>
    <t>Entregar comprobante y reflejar la operación en caja e inventario.</t>
  </si>
  <si>
    <t>Crear un producto con precio, impuestos, código, categoría y stock inicial.</t>
  </si>
  <si>
    <t>Disponibilizarlo en el catálogo para vender.</t>
  </si>
  <si>
    <t>Carga Exitosa</t>
  </si>
  <si>
    <t xml:space="preserve">Dado que ingrese como administrador local al modulo de productos (P6), seleccione la opcion de cargar un nuevo producto p(6) e ingrese correctamente los datos (6.2) </t>
  </si>
  <si>
    <t>cuando cargo un producto</t>
  </si>
  <si>
    <t xml:space="preserve">El sistema debe mostrar un mensaje informando que se cargo exitosamente el producto </t>
  </si>
  <si>
    <t>Carga Fallida por Datos Invalidos</t>
  </si>
  <si>
    <t>Dado que ingrese como administrador local al modulo de productos (P6), seleccione la opcion de cargar un nuevo producto P(6) e ingrese incorrectamente unos datos (P6.2)</t>
  </si>
  <si>
    <t>Cuando intento cargar un producto</t>
  </si>
  <si>
    <t>El sistema debe mostrar un mensaje informando el error y marcar los campos invalidos (P6.2)</t>
  </si>
  <si>
    <t>Cargar Fallida por Campos Obligatorios Vacios</t>
  </si>
  <si>
    <t>Dado que ingrese como administrador local al modulo de productos (P6), seleccione la opción de cargar un nuevo producto (P6) pero no ingrese unos datos obligatorios (P6.2)</t>
  </si>
  <si>
    <t>El sistema debe mostrar un mensaje informando el error y marcar los campos vacios (P6.2)</t>
  </si>
  <si>
    <t>jonatan</t>
  </si>
  <si>
    <t>Carga Fallida por Pérdida de Conexion</t>
  </si>
  <si>
    <t>Dado que ingrese como administrador local al modulo de productos (P6), seleccione la opcion de cargar un nuevo producto (P6) y al cargar el productos se pierde la conexion (P6.2)</t>
  </si>
  <si>
    <t>el sistema debe mostrar un mensaje (P6.2) notificando que no fue posible cargar el producto e invitar a reintentar.</t>
  </si>
  <si>
    <t>Consultar catálogo</t>
  </si>
  <si>
    <t>Buscar productos y su código, nombre o categoría.</t>
  </si>
  <si>
    <t>Revisar los productos que se comercializan en el negocio</t>
  </si>
  <si>
    <t>Inactivar un producto para que no aparezca en ventas, conservando su historial.</t>
  </si>
  <si>
    <t>Mantener el catálogo vigente sin perder registros.</t>
  </si>
  <si>
    <t>Eliminacion Exitosa</t>
  </si>
  <si>
    <t xml:space="preserve">Dado que ingrese como administrador local al módulo de gestion de catálogo (P6)  seleccione un producto existente (P6) y seleccione la opcion de eliminar (P6) </t>
  </si>
  <si>
    <t>cuando confirmo la eliminacion</t>
  </si>
  <si>
    <t>El sistema debe mostrar un mensaje de confirmacion (P6) y quitarlo de la vista del catalogo (P6)</t>
  </si>
  <si>
    <t>Eliminación Cancelada</t>
  </si>
  <si>
    <t>cuando slecciono el ícono de eliminar (P6) pero cancelo la acción (P6)</t>
  </si>
  <si>
    <t>el sistema debe mostrar un mensaje advirtiendo que no fue posible eliminar el producto debido a la pérdida de conexión y debe invitar a reintentar (P6)</t>
  </si>
  <si>
    <t>Eliminación Fallida por Perdida de Conexion</t>
  </si>
  <si>
    <t>Cuando selecciono el icono de eliminar (P6) y confirmo los cambios (P6) pero se pierde la conexion</t>
  </si>
  <si>
    <t>El sistema debe mostrar un mensaje de que se perdio la conexion (P6) y mantener el producto en el catalogo (P6)</t>
  </si>
  <si>
    <t>Actualizar precio, impuestos, descripción, etc...</t>
  </si>
  <si>
    <t>Mantener la información comercial al día.</t>
  </si>
  <si>
    <t>Edicion Exitosa</t>
  </si>
  <si>
    <t>Dado que ingresé como administrador local al módulo de gestion de catalogo (P6) y he seleccionado el producto a editar (P6) e ingresé los nuevos datos de manera correcta (P6.1)</t>
  </si>
  <si>
    <t>cuando guardo los cambios</t>
  </si>
  <si>
    <t>el sistema debe mostrar un mensaje en confirmando que la información del producto ha sido actualizada exitosamente  (P6.1)</t>
  </si>
  <si>
    <t>dorado</t>
  </si>
  <si>
    <t>Edicion Fallida Por Datos Incompatibles</t>
  </si>
  <si>
    <t>Dado que ingresé como administrador local al módulo de gestion de catalogo (P6), seleccioné el producto a editar (P6) e intenté modificarlo ingresando datos cuyo tipo es incompatible (P6.1) (Ejemplo: texto en un campo numérico)</t>
  </si>
  <si>
    <t>el sistema debe mostrar un mensaje advirtiendo lo sucedido y marcar el campo inválido  (P6.1)</t>
  </si>
  <si>
    <t>Edicion Fallida Por Campos Obligatorios Vacios</t>
  </si>
  <si>
    <t>Dado que ingresé como administrador local al módulo de gestion de productos (P6), seleccioné el producto a editar (P6) pero dejé campos obligatorios vacíos (P6.1)</t>
  </si>
  <si>
    <t>el sistema debe mostrar un mensaje advirtiendo lo sucedido y marcar los campos vacíos  (P6.1)</t>
  </si>
  <si>
    <t>Edición fallida por pérdida de conexión</t>
  </si>
  <si>
    <t>Dado que ingresé como administrador local al módulo de gestion de productos (P6) y realicé cambios en un producto</t>
  </si>
  <si>
    <t>cuando intento guardar los cambios pero se pierde la conexión con el servidor</t>
  </si>
  <si>
    <t>el sistema debe mostrar un mensaje (P6.1) notificando que no fue posible completar la actualización e invitar a reintentar.</t>
  </si>
  <si>
    <t>Listar/filtrar ventas por fecha, sede, cajero, cliente y estado; exportar reporte.</t>
  </si>
  <si>
    <t>Hacer control tributario y gestión del negocio.</t>
  </si>
  <si>
    <t>Consulta exitosa con filtros</t>
  </si>
  <si>
    <t>Dado que ingresé como administrador local al módulo de gestion de ventas (P3) y seleccioné filtros de búsqueda válidos (P3.1)</t>
  </si>
  <si>
    <t>cuando ejecuto la consulta</t>
  </si>
  <si>
    <t>el sistema debe mostrar la lista de ventas que cumplen con los criterios seleccionados  (P3.1.1)</t>
  </si>
  <si>
    <t>Consulta sin resultados</t>
  </si>
  <si>
    <t>Dado que ingresé como administrador local al módulo de gestion de ventas (P3) y seleccioné filtros que no coinciden con ninguna venta registrada (P3.1.1)</t>
  </si>
  <si>
    <t>el sistema debe mostrar un mensaje indicando que no se encontraron resultados para la búsqueda realizada (P3.1)</t>
  </si>
  <si>
    <t>Exportación de reporte exitosa</t>
  </si>
  <si>
    <t xml:space="preserve">Dado que ingresé como administrador local al módulo de gestion de ventas (P3) y he realizado una consulta (P3.1) con resultados (P3.1.1) </t>
  </si>
  <si>
    <t>cuando selecciono la opción de exportar</t>
  </si>
  <si>
    <t>el sistema debe generar el archivo con la información correspondiente y permitir su descarga (P3.1.2), mostrando un mensaje confirmando su descarga (P3.1.2)</t>
  </si>
  <si>
    <t>Exportación fallida por error en conexión</t>
  </si>
  <si>
    <t>Dado que ingresé como administrador local al módulo de gestion de ventas (P3) y realicé una consulta válida (P3.1)</t>
  </si>
  <si>
    <t>cuando intento exportar el reporte pero ocurre un error de conexión con el servidor</t>
  </si>
  <si>
    <t>el sistema debe mostrar un mensaje notificando que no fue posible generar el archivo y sugerir intentar nuevamente (P3.1.2)</t>
  </si>
  <si>
    <t>Administradro local</t>
  </si>
  <si>
    <t>Anular una venta (con nota crédito/motivo), revirtiendo caja.</t>
  </si>
  <si>
    <t>Corregir errores manteniendo auditoría.</t>
  </si>
  <si>
    <t>Dado que ingresé como administrador local al módulo degestion de ventas (P3), realice una busqueda con filtros correctos (P3.1) seleccioné una venta y realice su eliminacion (P3.1)</t>
  </si>
  <si>
    <t>cuando confirmo la eliminación</t>
  </si>
  <si>
    <t>el sistema debe revertir los movimientos de caja y mostrar un mensaje confirmando la operación (P3.1)</t>
  </si>
  <si>
    <t>Dado que ingresé como administrador local al módulo de gestion de ventas (P3), realice una busqueda valida (P3.1) y luego seleccione una venta a eliminar (P3.1.1)</t>
  </si>
  <si>
    <t>cuando confirmo la operación pero se pierde la conexión con el servidor</t>
  </si>
  <si>
    <t>el sistema debe mostrar un mensaje advirtiendo que la transacción no se completó y sugerir intentar nuevamente (P3.1.1)</t>
  </si>
  <si>
    <t>Eliminación fallida por caja cerrada</t>
  </si>
  <si>
    <t>Dado que ingresé como administrador local al módulo de gestion de ventas (P3), realice una busqueda correctamente (P3.1), seleccioné una venta a eliminar pero la caja asociada ya fue cerrada (P3.1.1)</t>
  </si>
  <si>
    <t>el sistema debe mostrar un mensaje indicando que no es posible anular ventas de una caja cerrada (P3.1.1)</t>
  </si>
  <si>
    <t>Eliminación fallida por venta asociada a cierre contable</t>
  </si>
  <si>
    <t>Dado que ingresé como administrador local al módulo de gestion de ventas (P3) y realice una busqueda exitosa (P3.1) , luego seleccioné una venta (P3.1.1) correspondiente a un periodo que ya fue cerrado contablemente</t>
  </si>
  <si>
    <t>el sistema debe mostrar un mensaje en (P#) advirtiendo que el motivo es obligatorio.</t>
  </si>
  <si>
    <t>Registrar una sede con datos de identificación, dirección, impuestos y cajas asociadas.</t>
  </si>
  <si>
    <t>Organizar la operación por ubicación.</t>
  </si>
  <si>
    <t>Registro de sede exitoso</t>
  </si>
  <si>
    <t>Dado que ingresé como administrador general al módulo de gestión de sedes y seleccioné “crear sede”, e ingresé todos los datos solicitados correctamente</t>
  </si>
  <si>
    <t>cuando creo la sede</t>
  </si>
  <si>
    <t>el sistema debe lanzar un mensaje confirmando que el registro fue exitoso</t>
  </si>
  <si>
    <t>dario</t>
  </si>
  <si>
    <t>Dado que ingresé como administrador general al módulo de gestión de sedes y seleccioné “crear sede”, pero uno o más campos tienen datos incompatibles con lo esperado</t>
  </si>
  <si>
    <t>el sistema debe mostrar un mensaje en la interfaz advirtiendo el error y marcar el campo inválido</t>
  </si>
  <si>
    <t>Dado que ingresé como administrador general al módulo de gestión de sedes y seleccioné “crear sede”, pero no ingresé uno o más campos obligatorios</t>
  </si>
  <si>
    <t>el sistema debe mostrar un mensaje en la interfaz advirtiendo lo sucedido y señalar el campo vacío</t>
  </si>
  <si>
    <t>Registro fallido por sede duplicada</t>
  </si>
  <si>
    <t>Dado que ingresé como administrador general al módulo de gestión de sedes y seleccioné “crear sede”, pero ingresé datos de una sede que ya está registrada</t>
  </si>
  <si>
    <t>el sistema debe mostrar una ventana modal notificando que ya existe una sede registrada con esa identificación</t>
  </si>
  <si>
    <t>Listar y buscar sedes, ver su detalle y estado.</t>
  </si>
  <si>
    <t>Gestionar recursos y asignaciones por sede.</t>
  </si>
  <si>
    <t>Consulta exitosa de todas las sedes</t>
  </si>
  <si>
    <t>Dado que ingresé como administrador general al módulo de gestión de sedes</t>
  </si>
  <si>
    <t>cuando consulto la lista de sedes</t>
  </si>
  <si>
    <t>el sistema debe mostrar todas las sedes registradas con su detalle y estado</t>
  </si>
  <si>
    <t>Búsqueda exitosa de una sede específica</t>
  </si>
  <si>
    <t>Dado que ingresé como administrador general al módulo de gestión de sedes y realicé una búsqueda con criterios válidos</t>
  </si>
  <si>
    <t>el sistema debe mostrar la sede encontrada con su información detallada</t>
  </si>
  <si>
    <t>Búsqueda fallida por criterios inexistentes</t>
  </si>
  <si>
    <t>Dado que ingresé como administrador general al módulo de gestión de sedes y realicé una búsqueda con datos que no existen en el sistema</t>
  </si>
  <si>
    <t>el sistema debe mostrar un mensaje indicando que no existen sedes con esos criterios</t>
  </si>
  <si>
    <t>Error al cargar listado de sedes</t>
  </si>
  <si>
    <t>Dado que ingresé como administrador general al módulo de gestión de sedes (P#), pero ocurrió un error de conexión o sistema</t>
  </si>
  <si>
    <t>cuando intento listar las sedes</t>
  </si>
  <si>
    <t>el sistema debe mostrar un mensaje de error e indicar que intente nuevamente</t>
  </si>
  <si>
    <t>Desactivar una sede si no está operando.</t>
  </si>
  <si>
    <t>Mantener el maestro limpio sin perder histórico.</t>
  </si>
  <si>
    <t>Eliminación exitosa de sede</t>
  </si>
  <si>
    <t>Dado que ingresé como administrador general al módulo de gestión de sedes, seleccioné una sede y confirmé su eliminación</t>
  </si>
  <si>
    <t>cuando elimino la sede</t>
  </si>
  <si>
    <t>el sistema debe mostrar un mensaje confirmando que la sede fue desactivada exitosamente</t>
  </si>
  <si>
    <t>Eliminación fallida por sede inexistente</t>
  </si>
  <si>
    <t>Dado que ingresé como administrador general al módulo de gestión de sedes, pero seleccioné una sede que no existe</t>
  </si>
  <si>
    <t>cuando intento eliminar la sede</t>
  </si>
  <si>
    <t>el sistema debe mostrar un mensaje advirtiendo que la sede no existe o ya fue eliminada</t>
  </si>
  <si>
    <t>Eliminación fallida por sede con dependencias activas</t>
  </si>
  <si>
    <t>Dado que ingresé como administrador general al módulo de gestión de sedes y seleccioné una sede, pero esta tiene cajas o usuarios activos asociados</t>
  </si>
  <si>
    <t>el sistema debe mostrar un mensaje notificando que no puede eliminarse hasta desactivar las dependencias</t>
  </si>
  <si>
    <t>Error en el proceso de eliminación</t>
  </si>
  <si>
    <t>Dado que ingresé como administrador general al módulo de gestión de sedes y seleccioné una sede válida, pero ocurrió un error interno</t>
  </si>
  <si>
    <t>el sistema debe mostrar un mensaje indicando que ocurrió un error y que intente nuevamente</t>
  </si>
  <si>
    <t>Iniciar sesión</t>
  </si>
  <si>
    <t>Administrador local, administrador general, cajero</t>
  </si>
  <si>
    <t>Autenticarse con sus credenciales.</t>
  </si>
  <si>
    <t>Proteger la información y asociar operaciones al usuario.</t>
  </si>
  <si>
    <t>Inicio de sesión exitoso</t>
  </si>
  <si>
    <r>
      <rPr>
        <sz val="11"/>
        <color theme="1"/>
        <rFont val="Calibri"/>
      </rPr>
      <t xml:space="preserve">Dado que ingresé al sistema e introduje mis credenciales válidas (usuario y contraseña correctos) (P0.1 </t>
    </r>
    <r>
      <rPr>
        <i/>
        <sz val="11"/>
        <color theme="1"/>
        <rFont val="Calibri"/>
      </rPr>
      <t>path: Inicio de Sesión</t>
    </r>
    <r>
      <rPr>
        <sz val="11"/>
        <color theme="1"/>
        <rFont val="Calibri"/>
      </rPr>
      <t>)</t>
    </r>
  </si>
  <si>
    <t>cuando inicio sesión</t>
  </si>
  <si>
    <r>
      <rPr>
        <sz val="11"/>
        <color theme="1"/>
        <rFont val="Calibri"/>
      </rPr>
      <t xml:space="preserve">el sistema debe permitir el acceso y mostrar el panel correspondiente al rol del usuario:
Administradores: Dashboard (P1 </t>
    </r>
    <r>
      <rPr>
        <i/>
        <sz val="11"/>
        <color theme="1"/>
        <rFont val="Calibri"/>
      </rPr>
      <t xml:space="preserve">path: Inicio de Sesión - Dashboard)
</t>
    </r>
    <r>
      <rPr>
        <sz val="11"/>
        <color theme="1"/>
        <rFont val="Calibri"/>
      </rPr>
      <t xml:space="preserve">Cajeros: Gestión de Caja (P4 </t>
    </r>
    <r>
      <rPr>
        <i/>
        <sz val="11"/>
        <color theme="1"/>
        <rFont val="Calibri"/>
      </rPr>
      <t>path: Inicio de Sesión - Dashboard - Gestión de Caja</t>
    </r>
    <r>
      <rPr>
        <sz val="11"/>
        <color theme="1"/>
        <rFont val="Calibri"/>
      </rPr>
      <t>)</t>
    </r>
  </si>
  <si>
    <t>Inicio de sesión fallido por credenciales inválidas</t>
  </si>
  <si>
    <r>
      <rPr>
        <sz val="11"/>
        <color theme="1"/>
        <rFont val="Calibri"/>
      </rPr>
      <t xml:space="preserve">Dado que ingresé al sistema pero introduje usuario o contraseña incorrectos (P0.2 </t>
    </r>
    <r>
      <rPr>
        <i/>
        <sz val="11"/>
        <color theme="1"/>
        <rFont val="Calibri"/>
      </rPr>
      <t>path: Inicio de Sesión</t>
    </r>
    <r>
      <rPr>
        <sz val="11"/>
        <color theme="1"/>
        <rFont val="Calibri"/>
      </rPr>
      <t>)</t>
    </r>
  </si>
  <si>
    <t>el sistema debe mostrar un mensaje indicando que las credenciales son inválidas y no permitir el acceso</t>
  </si>
  <si>
    <t>Inicio de sesión fallido por campos vacíos</t>
  </si>
  <si>
    <t>Dado que ingresé al sistema pero dejé en blanco uno o más campos de autenticación</t>
  </si>
  <si>
    <t>el sistema debe mostrar un mensaje advirtiendo que los campos son obligatorios</t>
  </si>
  <si>
    <t>Inicio de sesión fallido por usuario inactivo</t>
  </si>
  <si>
    <t>Dado que ingresé al sistema pero mi usuario se encuentra bloqueado o inactivo</t>
  </si>
  <si>
    <t>el sistema debe mostrar un mensaje notificando que la cuenta está inactiva y no permitir el acceso</t>
  </si>
  <si>
    <t>Cerrar sesión</t>
  </si>
  <si>
    <t>Salir del sistema de forma segura.</t>
  </si>
  <si>
    <t>Evitar usos no autorizados del equipo/caja.</t>
  </si>
  <si>
    <t>Cierre de sesión exitoso</t>
  </si>
  <si>
    <t>Dado que estoy autenticado en el sistema y selecciono la opción “cerrar sesión”</t>
  </si>
  <si>
    <t>cuando cierro sesión</t>
  </si>
  <si>
    <t>el sistema debe cerrar la sesión y mostrar la pantalla de inicio de sesión</t>
  </si>
  <si>
    <t>Cierre de sesión automático por inactividad</t>
  </si>
  <si>
    <t>Dado que inicié sesión en el sistema y permanecí inactivo durante el tiempo límite configurado</t>
  </si>
  <si>
    <t>cuando transcurre el tiempo de inactividad</t>
  </si>
  <si>
    <t>el sistema debe cerrar automáticamente la sesión y mostrar la pantalla de inicio de sesión</t>
  </si>
  <si>
    <t>Cierre de sesión fallido por error del sistema</t>
  </si>
  <si>
    <t>Dado que intenté cerrar sesión, pero ocurrió un error interno</t>
  </si>
  <si>
    <t>el sistema debe mostrar un mensaje de error notificando que no se pudo cerrar sesión correctamente</t>
  </si>
  <si>
    <t>Cierre de sesión en múltiples dispositivos</t>
  </si>
  <si>
    <t>Dado que tengo una sesión abierta en otro dispositivo y cierro la actual</t>
  </si>
  <si>
    <t>el sistema debe cerrar solo la sesión actual y mantener la del otro dispositivo activa, notificando al usuario</t>
  </si>
  <si>
    <t>Diseño</t>
  </si>
  <si>
    <t>Desarollo</t>
  </si>
  <si>
    <t>Pruebas</t>
  </si>
  <si>
    <t>Montaje</t>
  </si>
  <si>
    <t>Total</t>
  </si>
  <si>
    <t>Costos</t>
  </si>
  <si>
    <t>Total costos:</t>
  </si>
  <si>
    <t>Mantenimiento</t>
  </si>
  <si>
    <t>ID de la HU</t>
  </si>
  <si>
    <t>Nombre corto de la HU</t>
  </si>
  <si>
    <t>Tipo de Riesgo</t>
  </si>
  <si>
    <t>Descripción del Riesgo</t>
  </si>
  <si>
    <t>Riesgo Interno al Proyecto</t>
  </si>
  <si>
    <t>Posible mala gestión de validaciones en el registro (duplicidad de usuarios o datos inconsistentes) que retrase pruebas e incremente correcciones.</t>
  </si>
  <si>
    <t>Manejo ineficiente de grandes volúmenes de datos podría impactar el rendimiento y la experiencia del usuario.</t>
  </si>
  <si>
    <t>Eliminar Venta</t>
  </si>
  <si>
    <t>Dependencia a otros Proyectos</t>
  </si>
  <si>
    <t>Esta funcionalidad depende de la correcta implementación de los módulos de registro y consulta de ventas. Un retraso o cambio en esos módulos puede impedir validar la eliminación correctamente.</t>
  </si>
  <si>
    <t>Todas</t>
  </si>
  <si>
    <t>—</t>
  </si>
  <si>
    <t>La disponibilidad del personal se ve afectada porque algunos integrantes del equipo están asignados simultáneamente a otros proyectos, lo que puede generar retrasos en las entregas y disminución en la calidad del trabajo.</t>
  </si>
  <si>
    <t>Evento de la Organización</t>
  </si>
  <si>
    <t>Cambios en las políticas internas de cierre de caja o en la estructura de los informes pueden afectar los requerimientos definidos.</t>
  </si>
  <si>
    <t>Apertura, traslado o cierre real de sedes físicas en la empresa modifica la prioridad o alcance de esta funcionalidad.</t>
  </si>
  <si>
    <t>Evento del Entorno</t>
  </si>
  <si>
    <t>Cambios en normativas de protección de datos (por ejemplo, Habeas Data o GDPR) podrían obligar a ajustar la gestión de credenciales o la política de privacidad del sistema.</t>
  </si>
  <si>
    <t>Crear Venta (métodos de pago, finalizar pago, guardar PDF)</t>
  </si>
  <si>
    <t>La DIAN podría actualizar los requerimientos técnicos o normativos relacionados con la creación y validación de facturas electrónicas. Esto afectaría el módulo de “Crear Venta”, ya que las facturas deben cumplir con los nuevos formatos o protocolos de validación exigidos por la entidad.</t>
  </si>
  <si>
    <t>ID</t>
  </si>
  <si>
    <t>Identificador de Riesgo</t>
  </si>
  <si>
    <t>Título</t>
  </si>
  <si>
    <t>Categoría</t>
  </si>
  <si>
    <t>Probabilidad</t>
  </si>
  <si>
    <t>Impacto</t>
  </si>
  <si>
    <t>R001</t>
  </si>
  <si>
    <t>Mala gestión de validación en el registro</t>
  </si>
  <si>
    <t>Técnico</t>
  </si>
  <si>
    <t>Baja</t>
  </si>
  <si>
    <t>Alto</t>
  </si>
  <si>
    <t>R002</t>
  </si>
  <si>
    <t>Manejo ineficiente de grandes volúmenes de datos</t>
  </si>
  <si>
    <t>Funcional</t>
  </si>
  <si>
    <t>Medio</t>
  </si>
  <si>
    <t>R003</t>
  </si>
  <si>
    <t>Dependencia entre módulos funcionales</t>
  </si>
  <si>
    <t>La correcta ejecución de la funcionalidad de eliminación de ventas depende de la implementación estable de los módulos de registro y consulta de ventas. Un retraso o error en estos puede afectar la validación final del proceso.</t>
  </si>
  <si>
    <t>Técnico / Dependencia</t>
  </si>
  <si>
    <t>Media</t>
  </si>
  <si>
    <t>R004</t>
  </si>
  <si>
    <t>Baja disponibilidad del personal asignado</t>
  </si>
  <si>
    <t>Gerencia de Proyectos</t>
  </si>
  <si>
    <t>Alta</t>
  </si>
  <si>
    <t>R005</t>
  </si>
  <si>
    <t>Inestabilidad en políticas internas</t>
  </si>
  <si>
    <t>Cambios en las políticas internas de cierre de caja o generación de informes pueden afectar los requerimientos definidos.</t>
  </si>
  <si>
    <t>Organizacional</t>
  </si>
  <si>
    <t>R006</t>
  </si>
  <si>
    <t>No continuidad en sedes físicas</t>
  </si>
  <si>
    <t>R007</t>
  </si>
  <si>
    <t>Incumplimiento de normativas de protección de datos</t>
  </si>
  <si>
    <t>Cambios en normativas de protección de datos (ej. Habeas Data o GDPR) podrían obligar a ajustar la gestión de credenciales y los mecanismos de seguridad del sistema.</t>
  </si>
  <si>
    <t>R008</t>
  </si>
  <si>
    <t>Cambios normativos de la DIAN en facturación electrónica</t>
  </si>
  <si>
    <t>La DIAN podría actualizar los requerimientos técnicos o normativos relacionados con la creación y validación de facturas electrónicas, afectando el módulo de “Crear Venta” hasta que el sistema se ajuste a los nuevos formatos.</t>
  </si>
  <si>
    <t>Externo / Regulatorio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</si>
</sst>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 $]#,##0"/>
    <numFmt numFmtId="165" formatCode="#,##0.00\ [$€-1]"/>
  </numFmts>
  <fonts count="19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4"/>
      <color rgb="FF000000"/>
      <name val="Calibri"/>
    </font>
    <font>
      <sz val="11"/>
      <name val="Calibri"/>
    </font>
    <font>
      <sz val="11"/>
      <color theme="1"/>
      <name val="Calibri"/>
    </font>
    <font>
      <i/>
      <sz val="11"/>
      <color rgb="FF000000"/>
      <name val="Calibri"/>
    </font>
    <font>
      <sz val="11"/>
      <color rgb="FF000000"/>
      <name val="Calibri"/>
    </font>
    <font>
      <i/>
      <sz val="11"/>
      <color theme="1"/>
      <name val="Calibri"/>
    </font>
    <font>
      <i/>
      <sz val="11"/>
      <color rgb="FF000000"/>
      <name val="Calibri"/>
      <scheme val="minor"/>
    </font>
    <font>
      <i/>
      <sz val="11"/>
      <color rgb="FF000000"/>
      <name val="Calibri"/>
    </font>
    <font>
      <sz val="11"/>
      <color rgb="FF000000"/>
      <name val="Calibri"/>
      <scheme val="minor"/>
    </font>
    <font>
      <i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b/>
      <sz val="11"/>
      <color rgb="FF000000"/>
      <name val="Calibri"/>
    </font>
    <font>
      <b/>
      <sz val="28"/>
      <color theme="1"/>
      <name val="Calibri"/>
    </font>
    <font>
      <sz val="11"/>
      <color rgb="FFFFFFFF"/>
      <name val="Calibri"/>
    </font>
    <font>
      <b/>
      <sz val="11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1F497D"/>
        <bgColor rgb="FF1F497D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</fills>
  <borders count="2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7">
    <xf numFmtId="0" fontId="0" fillId="0" borderId="0" xfId="0" applyFont="1" applyAlignment="1"/>
    <xf numFmtId="0" fontId="1" fillId="0" borderId="1" xfId="0" applyFont="1" applyBorder="1" applyAlignment="1">
      <alignment vertical="center"/>
    </xf>
    <xf numFmtId="0" fontId="1" fillId="0" borderId="4" xfId="0" applyFont="1" applyBorder="1"/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4" fillId="0" borderId="4" xfId="0" applyFont="1" applyBorder="1"/>
    <xf numFmtId="0" fontId="5" fillId="0" borderId="5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5" fillId="0" borderId="0" xfId="0" applyFont="1"/>
    <xf numFmtId="0" fontId="7" fillId="0" borderId="0" xfId="0" applyFont="1"/>
    <xf numFmtId="0" fontId="6" fillId="0" borderId="0" xfId="0" applyFont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/>
    <xf numFmtId="0" fontId="5" fillId="0" borderId="2" xfId="0" applyFont="1" applyBorder="1"/>
    <xf numFmtId="0" fontId="5" fillId="0" borderId="7" xfId="0" applyFont="1" applyBorder="1" applyAlignment="1"/>
    <xf numFmtId="0" fontId="8" fillId="0" borderId="0" xfId="0" applyFont="1" applyAlignment="1"/>
    <xf numFmtId="0" fontId="6" fillId="0" borderId="0" xfId="0" applyFont="1" applyAlignment="1">
      <alignment horizontal="center"/>
    </xf>
    <xf numFmtId="0" fontId="6" fillId="0" borderId="7" xfId="0" applyFont="1" applyBorder="1"/>
    <xf numFmtId="0" fontId="8" fillId="0" borderId="0" xfId="0" applyFont="1" applyAlignment="1">
      <alignment horizontal="center"/>
    </xf>
    <xf numFmtId="0" fontId="9" fillId="0" borderId="0" xfId="0" applyFont="1" applyAlignment="1"/>
    <xf numFmtId="0" fontId="10" fillId="0" borderId="7" xfId="0" applyFont="1" applyBorder="1"/>
    <xf numFmtId="0" fontId="8" fillId="0" borderId="7" xfId="0" applyFont="1" applyBorder="1" applyAlignment="1"/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 applyAlignment="1"/>
    <xf numFmtId="0" fontId="12" fillId="0" borderId="7" xfId="0" applyFont="1" applyBorder="1"/>
    <xf numFmtId="0" fontId="11" fillId="0" borderId="7" xfId="0" applyFont="1" applyBorder="1" applyAlignment="1"/>
    <xf numFmtId="0" fontId="12" fillId="0" borderId="7" xfId="0" applyFont="1" applyBorder="1" applyAlignment="1">
      <alignment horizontal="center"/>
    </xf>
    <xf numFmtId="0" fontId="12" fillId="0" borderId="7" xfId="0" applyFont="1" applyBorder="1" applyAlignment="1"/>
    <xf numFmtId="0" fontId="12" fillId="0" borderId="0" xfId="0" applyFont="1" applyAlignment="1"/>
    <xf numFmtId="0" fontId="13" fillId="0" borderId="0" xfId="0" applyFont="1" applyAlignment="1"/>
    <xf numFmtId="0" fontId="14" fillId="2" borderId="0" xfId="0" applyFont="1" applyFill="1" applyAlignment="1"/>
    <xf numFmtId="0" fontId="14" fillId="3" borderId="12" xfId="0" applyFont="1" applyFill="1" applyBorder="1" applyAlignment="1">
      <alignment horizontal="center"/>
    </xf>
    <xf numFmtId="0" fontId="13" fillId="0" borderId="12" xfId="0" applyFont="1" applyBorder="1" applyAlignment="1"/>
    <xf numFmtId="0" fontId="13" fillId="0" borderId="12" xfId="0" applyFont="1" applyBorder="1" applyAlignment="1"/>
    <xf numFmtId="0" fontId="14" fillId="2" borderId="12" xfId="0" applyFont="1" applyFill="1" applyBorder="1" applyAlignment="1">
      <alignment horizontal="center"/>
    </xf>
    <xf numFmtId="0" fontId="15" fillId="4" borderId="0" xfId="0" applyFont="1" applyFill="1" applyAlignment="1"/>
    <xf numFmtId="0" fontId="6" fillId="0" borderId="0" xfId="0" applyFont="1" applyAlignment="1"/>
    <xf numFmtId="0" fontId="6" fillId="0" borderId="0" xfId="0" applyFont="1" applyAlignment="1">
      <alignment horizontal="center"/>
    </xf>
    <xf numFmtId="0" fontId="6" fillId="0" borderId="13" xfId="0" applyFont="1" applyBorder="1" applyAlignment="1"/>
    <xf numFmtId="0" fontId="6" fillId="0" borderId="13" xfId="0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49" fontId="12" fillId="0" borderId="0" xfId="0" applyNumberFormat="1" applyFont="1" applyAlignment="1"/>
    <xf numFmtId="0" fontId="4" fillId="6" borderId="14" xfId="0" applyFont="1" applyFill="1" applyBorder="1" applyAlignment="1">
      <alignment wrapText="1"/>
    </xf>
    <xf numFmtId="0" fontId="17" fillId="7" borderId="21" xfId="0" applyFont="1" applyFill="1" applyBorder="1" applyAlignment="1">
      <alignment horizontal="center" wrapText="1"/>
    </xf>
    <xf numFmtId="0" fontId="4" fillId="6" borderId="21" xfId="0" applyFont="1" applyFill="1" applyBorder="1" applyAlignment="1">
      <alignment horizontal="center" vertical="top" wrapText="1"/>
    </xf>
    <xf numFmtId="0" fontId="4" fillId="6" borderId="21" xfId="0" applyFont="1" applyFill="1" applyBorder="1" applyAlignment="1">
      <alignment vertical="top" wrapText="1"/>
    </xf>
    <xf numFmtId="0" fontId="4" fillId="6" borderId="14" xfId="0" applyFont="1" applyFill="1" applyBorder="1" applyAlignment="1">
      <alignment wrapText="1"/>
    </xf>
    <xf numFmtId="0" fontId="4" fillId="8" borderId="25" xfId="0" applyFont="1" applyFill="1" applyBorder="1" applyAlignment="1">
      <alignment vertical="top" wrapText="1"/>
    </xf>
    <xf numFmtId="0" fontId="4" fillId="8" borderId="21" xfId="0" applyFont="1" applyFill="1" applyBorder="1" applyAlignment="1">
      <alignment vertical="top" wrapText="1"/>
    </xf>
    <xf numFmtId="0" fontId="4" fillId="6" borderId="14" xfId="0" applyFont="1" applyFill="1" applyBorder="1" applyAlignment="1">
      <alignment horizontal="center"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wrapText="1"/>
    </xf>
    <xf numFmtId="0" fontId="12" fillId="0" borderId="0" xfId="0" applyFont="1" applyAlignment="1">
      <alignment horizontal="left" vertical="top" wrapText="1"/>
    </xf>
    <xf numFmtId="0" fontId="4" fillId="6" borderId="21" xfId="0" applyFont="1" applyFill="1" applyBorder="1" applyAlignment="1">
      <alignment vertical="top" wrapText="1"/>
    </xf>
    <xf numFmtId="0" fontId="4" fillId="6" borderId="21" xfId="0" applyFont="1" applyFill="1" applyBorder="1" applyAlignment="1">
      <alignment horizontal="center" vertical="top" wrapText="1"/>
    </xf>
    <xf numFmtId="0" fontId="4" fillId="9" borderId="21" xfId="0" applyFont="1" applyFill="1" applyBorder="1" applyAlignment="1">
      <alignment horizontal="center" vertical="top" wrapText="1"/>
    </xf>
    <xf numFmtId="0" fontId="4" fillId="9" borderId="21" xfId="0" applyFont="1" applyFill="1" applyBorder="1" applyAlignment="1">
      <alignment vertical="top" wrapText="1"/>
    </xf>
    <xf numFmtId="0" fontId="12" fillId="0" borderId="21" xfId="0" applyFont="1" applyBorder="1" applyAlignment="1">
      <alignment vertical="top" wrapText="1"/>
    </xf>
    <xf numFmtId="0" fontId="12" fillId="0" borderId="21" xfId="0" applyFont="1" applyBorder="1" applyAlignment="1">
      <alignment wrapText="1"/>
    </xf>
    <xf numFmtId="0" fontId="12" fillId="0" borderId="21" xfId="0" applyFont="1" applyBorder="1" applyAlignment="1">
      <alignment horizontal="center" vertical="top" wrapText="1"/>
    </xf>
    <xf numFmtId="0" fontId="12" fillId="9" borderId="0" xfId="0" applyFont="1" applyFill="1" applyAlignment="1">
      <alignment wrapText="1"/>
    </xf>
    <xf numFmtId="0" fontId="4" fillId="9" borderId="21" xfId="0" applyFont="1" applyFill="1" applyBorder="1" applyAlignment="1">
      <alignment vertical="top" wrapText="1"/>
    </xf>
    <xf numFmtId="0" fontId="4" fillId="6" borderId="26" xfId="0" applyFont="1" applyFill="1" applyBorder="1" applyAlignment="1">
      <alignment wrapText="1"/>
    </xf>
    <xf numFmtId="0" fontId="4" fillId="5" borderId="0" xfId="0" applyFont="1" applyFill="1" applyAlignment="1">
      <alignment wrapText="1"/>
    </xf>
    <xf numFmtId="0" fontId="4" fillId="5" borderId="0" xfId="0" applyFont="1" applyFill="1" applyAlignment="1">
      <alignment vertical="top" wrapText="1"/>
    </xf>
    <xf numFmtId="0" fontId="4" fillId="6" borderId="17" xfId="0" applyFont="1" applyFill="1" applyBorder="1" applyAlignment="1">
      <alignment wrapText="1"/>
    </xf>
    <xf numFmtId="0" fontId="4" fillId="6" borderId="0" xfId="0" applyFont="1" applyFill="1" applyAlignment="1">
      <alignment wrapText="1"/>
    </xf>
    <xf numFmtId="0" fontId="4" fillId="6" borderId="0" xfId="0" applyFont="1" applyFill="1" applyAlignment="1">
      <alignment vertical="top" wrapText="1"/>
    </xf>
    <xf numFmtId="0" fontId="4" fillId="6" borderId="0" xfId="0" applyFont="1" applyFill="1" applyAlignment="1">
      <alignment horizontal="center" vertical="top" wrapText="1"/>
    </xf>
    <xf numFmtId="0" fontId="4" fillId="6" borderId="27" xfId="0" applyFont="1" applyFill="1" applyBorder="1" applyAlignment="1">
      <alignment wrapText="1"/>
    </xf>
    <xf numFmtId="0" fontId="12" fillId="0" borderId="0" xfId="0" applyFont="1" applyAlignment="1">
      <alignment wrapText="1"/>
    </xf>
    <xf numFmtId="0" fontId="12" fillId="6" borderId="0" xfId="0" applyFont="1" applyFill="1" applyAlignment="1">
      <alignment wrapText="1"/>
    </xf>
    <xf numFmtId="0" fontId="15" fillId="10" borderId="21" xfId="0" applyFont="1" applyFill="1" applyBorder="1" applyAlignment="1"/>
    <xf numFmtId="0" fontId="18" fillId="10" borderId="21" xfId="0" applyFont="1" applyFill="1" applyBorder="1" applyAlignment="1"/>
    <xf numFmtId="164" fontId="12" fillId="10" borderId="21" xfId="0" applyNumberFormat="1" applyFont="1" applyFill="1" applyBorder="1" applyAlignment="1"/>
    <xf numFmtId="0" fontId="6" fillId="11" borderId="21" xfId="0" applyFont="1" applyFill="1" applyBorder="1" applyAlignment="1"/>
    <xf numFmtId="0" fontId="12" fillId="0" borderId="21" xfId="0" applyFont="1" applyBorder="1" applyAlignment="1"/>
    <xf numFmtId="164" fontId="12" fillId="0" borderId="21" xfId="0" applyNumberFormat="1" applyFont="1" applyBorder="1"/>
    <xf numFmtId="0" fontId="6" fillId="12" borderId="21" xfId="0" applyFont="1" applyFill="1" applyBorder="1" applyAlignment="1"/>
    <xf numFmtId="0" fontId="12" fillId="10" borderId="21" xfId="0" applyFont="1" applyFill="1" applyBorder="1" applyAlignment="1"/>
    <xf numFmtId="164" fontId="12" fillId="0" borderId="24" xfId="0" applyNumberFormat="1" applyFont="1" applyBorder="1"/>
    <xf numFmtId="164" fontId="12" fillId="0" borderId="21" xfId="0" applyNumberFormat="1" applyFont="1" applyBorder="1"/>
    <xf numFmtId="0" fontId="18" fillId="0" borderId="0" xfId="0" applyFont="1" applyAlignment="1">
      <alignment horizontal="center"/>
    </xf>
    <xf numFmtId="165" fontId="12" fillId="0" borderId="0" xfId="0" applyNumberFormat="1" applyFont="1"/>
    <xf numFmtId="0" fontId="18" fillId="4" borderId="0" xfId="0" applyFont="1" applyFill="1" applyAlignment="1">
      <alignment horizontal="center" wrapText="1"/>
    </xf>
    <xf numFmtId="0" fontId="18" fillId="13" borderId="0" xfId="0" applyFont="1" applyFill="1" applyAlignment="1">
      <alignment horizontal="center" wrapText="1"/>
    </xf>
    <xf numFmtId="0" fontId="18" fillId="13" borderId="0" xfId="0" applyFont="1" applyFill="1" applyAlignment="1">
      <alignment horizontal="left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0" fillId="0" borderId="0" xfId="0" applyFont="1" applyAlignment="1"/>
    <xf numFmtId="0" fontId="4" fillId="0" borderId="6" xfId="0" applyFont="1" applyBorder="1" applyAlignment="1">
      <alignment horizontal="center"/>
    </xf>
    <xf numFmtId="0" fontId="3" fillId="0" borderId="7" xfId="0" applyFont="1" applyBorder="1"/>
    <xf numFmtId="0" fontId="3" fillId="0" borderId="8" xfId="0" applyFont="1" applyBorder="1"/>
    <xf numFmtId="0" fontId="1" fillId="0" borderId="9" xfId="0" applyFont="1" applyBorder="1" applyAlignment="1">
      <alignment horizontal="center" vertical="center"/>
    </xf>
    <xf numFmtId="0" fontId="3" fillId="0" borderId="10" xfId="0" applyFont="1" applyBorder="1"/>
    <xf numFmtId="0" fontId="3" fillId="0" borderId="11" xfId="0" applyFont="1" applyBorder="1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4" fillId="6" borderId="22" xfId="0" applyFont="1" applyFill="1" applyBorder="1" applyAlignment="1">
      <alignment vertical="top" wrapText="1"/>
    </xf>
    <xf numFmtId="0" fontId="3" fillId="0" borderId="23" xfId="0" applyFont="1" applyBorder="1"/>
    <xf numFmtId="0" fontId="3" fillId="0" borderId="24" xfId="0" applyFont="1" applyBorder="1"/>
    <xf numFmtId="0" fontId="16" fillId="6" borderId="15" xfId="0" applyFont="1" applyFill="1" applyBorder="1" applyAlignment="1">
      <alignment horizontal="center" wrapText="1"/>
    </xf>
    <xf numFmtId="0" fontId="3" fillId="0" borderId="16" xfId="0" applyFont="1" applyBorder="1"/>
    <xf numFmtId="0" fontId="3" fillId="0" borderId="17" xfId="0" applyFont="1" applyBorder="1"/>
    <xf numFmtId="0" fontId="17" fillId="7" borderId="18" xfId="0" applyFont="1" applyFill="1" applyBorder="1" applyAlignment="1">
      <alignment horizontal="center" wrapText="1"/>
    </xf>
    <xf numFmtId="0" fontId="3" fillId="0" borderId="19" xfId="0" applyFont="1" applyBorder="1"/>
    <xf numFmtId="0" fontId="3" fillId="0" borderId="20" xfId="0" applyFont="1" applyBorder="1"/>
    <xf numFmtId="0" fontId="4" fillId="6" borderId="0" xfId="0" applyFont="1" applyFill="1" applyAlignment="1">
      <alignment vertical="top" wrapText="1"/>
    </xf>
    <xf numFmtId="0" fontId="4" fillId="9" borderId="2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4"/>
  <sheetViews>
    <sheetView tabSelected="1" workbookViewId="0">
      <selection activeCell="G2" sqref="G2"/>
    </sheetView>
  </sheetViews>
  <sheetFormatPr baseColWidth="10" defaultColWidth="14.44140625" defaultRowHeight="15" customHeight="1" x14ac:dyDescent="0.3"/>
  <cols>
    <col min="1" max="1" width="20.5546875" customWidth="1"/>
    <col min="2" max="2" width="25" customWidth="1"/>
    <col min="3" max="3" width="27.109375" customWidth="1"/>
    <col min="4" max="4" width="30.5546875" customWidth="1"/>
    <col min="5" max="5" width="55.88671875" customWidth="1"/>
    <col min="6" max="26" width="10.6640625" customWidth="1"/>
  </cols>
  <sheetData>
    <row r="1" spans="1:26" ht="40.5" customHeight="1" x14ac:dyDescent="0.3">
      <c r="A1" s="1" t="s">
        <v>0</v>
      </c>
      <c r="B1" s="101" t="s">
        <v>1</v>
      </c>
      <c r="C1" s="102"/>
      <c r="D1" s="102"/>
      <c r="E1" s="103"/>
    </row>
    <row r="2" spans="1:26" ht="14.4" x14ac:dyDescent="0.3">
      <c r="A2" s="2" t="s">
        <v>2</v>
      </c>
      <c r="B2" s="104" t="s">
        <v>3</v>
      </c>
      <c r="C2" s="94"/>
      <c r="D2" s="94"/>
      <c r="E2" s="4" t="s">
        <v>4</v>
      </c>
    </row>
    <row r="3" spans="1:26" ht="14.4" x14ac:dyDescent="0.3">
      <c r="A3" s="5">
        <v>1</v>
      </c>
      <c r="B3" s="105" t="s">
        <v>5</v>
      </c>
      <c r="C3" s="94"/>
      <c r="D3" s="94"/>
      <c r="E3" s="6" t="s">
        <v>6</v>
      </c>
    </row>
    <row r="4" spans="1:26" ht="14.4" x14ac:dyDescent="0.3">
      <c r="A4" s="5">
        <v>2</v>
      </c>
      <c r="B4" s="105" t="s">
        <v>7</v>
      </c>
      <c r="C4" s="94"/>
      <c r="D4" s="94"/>
      <c r="E4" s="7" t="s">
        <v>6</v>
      </c>
    </row>
    <row r="5" spans="1:26" ht="14.4" x14ac:dyDescent="0.3">
      <c r="A5" s="5">
        <v>3</v>
      </c>
      <c r="B5" s="93" t="s">
        <v>8</v>
      </c>
      <c r="C5" s="94"/>
      <c r="D5" s="94"/>
      <c r="E5" s="7" t="s">
        <v>9</v>
      </c>
    </row>
    <row r="6" spans="1:26" ht="14.4" x14ac:dyDescent="0.3">
      <c r="A6" s="5">
        <v>4</v>
      </c>
      <c r="B6" s="93" t="s">
        <v>10</v>
      </c>
      <c r="C6" s="94"/>
      <c r="D6" s="94"/>
      <c r="E6" s="7" t="s">
        <v>9</v>
      </c>
    </row>
    <row r="7" spans="1:26" ht="14.4" x14ac:dyDescent="0.3">
      <c r="A7" s="5">
        <v>5</v>
      </c>
      <c r="B7" s="93" t="s">
        <v>11</v>
      </c>
      <c r="C7" s="94"/>
      <c r="D7" s="94"/>
      <c r="E7" s="7" t="s">
        <v>12</v>
      </c>
    </row>
    <row r="8" spans="1:26" ht="14.4" x14ac:dyDescent="0.3">
      <c r="A8" s="5">
        <v>6</v>
      </c>
      <c r="B8" s="93" t="s">
        <v>13</v>
      </c>
      <c r="C8" s="94"/>
      <c r="D8" s="94"/>
      <c r="E8" s="7" t="s">
        <v>12</v>
      </c>
    </row>
    <row r="9" spans="1:26" ht="14.4" x14ac:dyDescent="0.3">
      <c r="A9" s="95"/>
      <c r="B9" s="96"/>
      <c r="C9" s="96"/>
      <c r="D9" s="96"/>
      <c r="E9" s="97"/>
    </row>
    <row r="10" spans="1:26" ht="33" customHeight="1" x14ac:dyDescent="0.3">
      <c r="A10" s="98" t="s">
        <v>14</v>
      </c>
      <c r="B10" s="99"/>
      <c r="C10" s="99"/>
      <c r="D10" s="99"/>
      <c r="E10" s="100"/>
    </row>
    <row r="11" spans="1:26" ht="14.4" x14ac:dyDescent="0.3">
      <c r="A11" s="3" t="s">
        <v>15</v>
      </c>
      <c r="B11" s="3" t="s">
        <v>16</v>
      </c>
      <c r="C11" s="3" t="s">
        <v>17</v>
      </c>
      <c r="D11" s="3" t="s">
        <v>18</v>
      </c>
      <c r="E11" s="3" t="s">
        <v>19</v>
      </c>
    </row>
    <row r="12" spans="1:26" ht="14.4" x14ac:dyDescent="0.3">
      <c r="A12" s="8">
        <v>1</v>
      </c>
      <c r="B12" s="8" t="s">
        <v>20</v>
      </c>
      <c r="C12" s="9" t="s">
        <v>21</v>
      </c>
      <c r="D12" s="10" t="s">
        <v>22</v>
      </c>
      <c r="E12" s="9" t="s">
        <v>23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4.4" x14ac:dyDescent="0.3">
      <c r="A13" s="12"/>
      <c r="B13" s="12"/>
      <c r="C13" s="12"/>
      <c r="D13" s="9" t="s">
        <v>24</v>
      </c>
      <c r="E13" s="9" t="s">
        <v>25</v>
      </c>
    </row>
    <row r="14" spans="1:26" ht="14.4" x14ac:dyDescent="0.3">
      <c r="A14" s="12"/>
      <c r="B14" s="12"/>
      <c r="C14" s="12"/>
      <c r="D14" s="9" t="s">
        <v>26</v>
      </c>
      <c r="E14" s="9" t="s">
        <v>27</v>
      </c>
    </row>
    <row r="15" spans="1:26" ht="14.4" x14ac:dyDescent="0.3">
      <c r="A15" s="12"/>
      <c r="B15" s="12"/>
      <c r="C15" s="12"/>
      <c r="D15" s="9" t="s">
        <v>28</v>
      </c>
      <c r="E15" s="9" t="s">
        <v>29</v>
      </c>
    </row>
    <row r="16" spans="1:26" ht="14.4" x14ac:dyDescent="0.3">
      <c r="A16" s="13">
        <v>2</v>
      </c>
      <c r="B16" s="13" t="s">
        <v>30</v>
      </c>
      <c r="C16" s="14" t="s">
        <v>31</v>
      </c>
      <c r="D16" s="15" t="s">
        <v>32</v>
      </c>
      <c r="E16" s="14" t="s">
        <v>33</v>
      </c>
    </row>
    <row r="17" spans="1:5" ht="14.4" x14ac:dyDescent="0.3">
      <c r="A17" s="12"/>
      <c r="B17" s="12"/>
      <c r="C17" s="12"/>
      <c r="D17" s="10" t="s">
        <v>34</v>
      </c>
      <c r="E17" s="9" t="s">
        <v>35</v>
      </c>
    </row>
    <row r="18" spans="1:5" ht="14.4" x14ac:dyDescent="0.3">
      <c r="A18" s="12"/>
      <c r="B18" s="12"/>
      <c r="C18" s="12"/>
      <c r="D18" s="9" t="s">
        <v>36</v>
      </c>
      <c r="E18" s="9" t="s">
        <v>37</v>
      </c>
    </row>
    <row r="19" spans="1:5" ht="14.4" x14ac:dyDescent="0.3">
      <c r="A19" s="12"/>
      <c r="B19" s="12"/>
      <c r="C19" s="12"/>
      <c r="D19" s="16" t="s">
        <v>38</v>
      </c>
      <c r="E19" s="17" t="s">
        <v>39</v>
      </c>
    </row>
    <row r="20" spans="1:5" ht="15.75" customHeight="1" x14ac:dyDescent="0.3">
      <c r="A20" s="13">
        <v>3</v>
      </c>
      <c r="B20" s="13" t="s">
        <v>40</v>
      </c>
      <c r="C20" s="14" t="s">
        <v>41</v>
      </c>
      <c r="D20" s="9" t="s">
        <v>42</v>
      </c>
      <c r="E20" s="14" t="s">
        <v>43</v>
      </c>
    </row>
    <row r="21" spans="1:5" ht="15.75" customHeight="1" x14ac:dyDescent="0.3">
      <c r="A21" s="8"/>
      <c r="B21" s="18"/>
      <c r="C21" s="12"/>
      <c r="D21" s="9" t="s">
        <v>44</v>
      </c>
      <c r="E21" s="9" t="s">
        <v>45</v>
      </c>
    </row>
    <row r="22" spans="1:5" ht="15.75" customHeight="1" x14ac:dyDescent="0.3">
      <c r="A22" s="12"/>
      <c r="B22" s="12"/>
      <c r="C22" s="12"/>
      <c r="D22" s="9" t="s">
        <v>46</v>
      </c>
      <c r="E22" s="9" t="s">
        <v>47</v>
      </c>
    </row>
    <row r="23" spans="1:5" ht="15.75" customHeight="1" x14ac:dyDescent="0.3">
      <c r="A23" s="19"/>
      <c r="B23" s="19"/>
      <c r="C23" s="19"/>
      <c r="D23" s="16" t="s">
        <v>48</v>
      </c>
      <c r="E23" s="16" t="s">
        <v>49</v>
      </c>
    </row>
    <row r="24" spans="1:5" ht="15.75" customHeight="1" x14ac:dyDescent="0.3">
      <c r="A24" s="8">
        <v>4</v>
      </c>
      <c r="B24" s="20" t="s">
        <v>50</v>
      </c>
      <c r="C24" s="21" t="s">
        <v>51</v>
      </c>
      <c r="D24" s="9" t="s">
        <v>52</v>
      </c>
      <c r="E24" s="17" t="s">
        <v>53</v>
      </c>
    </row>
    <row r="25" spans="1:5" ht="15.75" customHeight="1" x14ac:dyDescent="0.3">
      <c r="A25" s="22"/>
      <c r="B25" s="22"/>
      <c r="C25" s="22"/>
      <c r="D25" s="16" t="s">
        <v>54</v>
      </c>
      <c r="E25" s="23" t="s">
        <v>55</v>
      </c>
    </row>
    <row r="26" spans="1:5" ht="15.75" customHeight="1" x14ac:dyDescent="0.3">
      <c r="A26" s="24">
        <v>5</v>
      </c>
      <c r="B26" s="25" t="s">
        <v>56</v>
      </c>
      <c r="C26" s="21" t="s">
        <v>57</v>
      </c>
      <c r="D26" s="14" t="s">
        <v>58</v>
      </c>
      <c r="E26" s="26" t="s">
        <v>59</v>
      </c>
    </row>
    <row r="27" spans="1:5" ht="15.75" customHeight="1" x14ac:dyDescent="0.3">
      <c r="D27" s="9" t="s">
        <v>60</v>
      </c>
      <c r="E27" s="26" t="s">
        <v>61</v>
      </c>
    </row>
    <row r="28" spans="1:5" ht="15.75" customHeight="1" x14ac:dyDescent="0.3">
      <c r="A28" s="27"/>
      <c r="B28" s="27"/>
      <c r="C28" s="27"/>
      <c r="D28" s="16" t="s">
        <v>62</v>
      </c>
      <c r="E28" s="28" t="s">
        <v>63</v>
      </c>
    </row>
    <row r="29" spans="1:5" ht="15.75" customHeight="1" x14ac:dyDescent="0.3">
      <c r="A29" s="29">
        <v>6</v>
      </c>
      <c r="B29" s="29" t="s">
        <v>64</v>
      </c>
      <c r="C29" s="30" t="s">
        <v>65</v>
      </c>
      <c r="D29" s="30" t="s">
        <v>66</v>
      </c>
      <c r="E29" s="30" t="s">
        <v>67</v>
      </c>
    </row>
    <row r="30" spans="1:5" ht="15.75" customHeight="1" x14ac:dyDescent="0.3">
      <c r="A30" s="31"/>
    </row>
    <row r="31" spans="1:5" ht="15.75" customHeight="1" x14ac:dyDescent="0.3">
      <c r="A31" s="31" t="s">
        <v>68</v>
      </c>
    </row>
    <row r="32" spans="1:5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</sheetData>
  <mergeCells count="10">
    <mergeCell ref="B8:D8"/>
    <mergeCell ref="A9:E9"/>
    <mergeCell ref="A10:E10"/>
    <mergeCell ref="B1:E1"/>
    <mergeCell ref="B2:D2"/>
    <mergeCell ref="B3:D3"/>
    <mergeCell ref="B4:D4"/>
    <mergeCell ref="B5:D5"/>
    <mergeCell ref="B6:D6"/>
    <mergeCell ref="B7:D7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29"/>
  <sheetViews>
    <sheetView workbookViewId="0"/>
  </sheetViews>
  <sheetFormatPr baseColWidth="10" defaultColWidth="14.44140625" defaultRowHeight="15" customHeight="1" x14ac:dyDescent="0.3"/>
  <cols>
    <col min="1" max="1" width="23.44140625" customWidth="1"/>
    <col min="2" max="2" width="32" customWidth="1"/>
    <col min="3" max="3" width="15.5546875" customWidth="1"/>
    <col min="4" max="4" width="63.88671875" customWidth="1"/>
  </cols>
  <sheetData>
    <row r="1" spans="1:4" x14ac:dyDescent="0.3">
      <c r="A1" s="32"/>
      <c r="B1" s="32"/>
      <c r="C1" s="32"/>
      <c r="D1" s="32"/>
    </row>
    <row r="2" spans="1:4" x14ac:dyDescent="0.3">
      <c r="A2" s="32"/>
      <c r="B2" s="32"/>
      <c r="C2" s="32"/>
      <c r="D2" s="32"/>
    </row>
    <row r="3" spans="1:4" x14ac:dyDescent="0.3">
      <c r="A3" s="33" t="s">
        <v>69</v>
      </c>
      <c r="B3" s="32"/>
      <c r="C3" s="32"/>
      <c r="D3" s="32"/>
    </row>
    <row r="4" spans="1:4" x14ac:dyDescent="0.3">
      <c r="A4" s="34" t="s">
        <v>70</v>
      </c>
      <c r="B4" s="34" t="s">
        <v>71</v>
      </c>
      <c r="C4" s="34" t="s">
        <v>72</v>
      </c>
      <c r="D4" s="34" t="s">
        <v>73</v>
      </c>
    </row>
    <row r="5" spans="1:4" x14ac:dyDescent="0.3">
      <c r="A5" s="35" t="s">
        <v>20</v>
      </c>
      <c r="B5" s="35" t="s">
        <v>21</v>
      </c>
      <c r="C5" s="35" t="s">
        <v>22</v>
      </c>
      <c r="D5" s="35" t="s">
        <v>23</v>
      </c>
    </row>
    <row r="6" spans="1:4" x14ac:dyDescent="0.3">
      <c r="A6" s="36" t="s">
        <v>64</v>
      </c>
      <c r="B6" s="36" t="s">
        <v>65</v>
      </c>
      <c r="C6" s="36" t="s">
        <v>66</v>
      </c>
      <c r="D6" s="35" t="s">
        <v>67</v>
      </c>
    </row>
    <row r="7" spans="1:4" x14ac:dyDescent="0.3">
      <c r="A7" s="35" t="s">
        <v>56</v>
      </c>
      <c r="B7" s="35" t="s">
        <v>74</v>
      </c>
      <c r="C7" s="35" t="s">
        <v>58</v>
      </c>
      <c r="D7" s="35" t="s">
        <v>59</v>
      </c>
    </row>
    <row r="8" spans="1:4" x14ac:dyDescent="0.3">
      <c r="A8" s="35" t="s">
        <v>56</v>
      </c>
      <c r="B8" s="35" t="s">
        <v>74</v>
      </c>
      <c r="C8" s="35" t="s">
        <v>60</v>
      </c>
      <c r="D8" s="35" t="s">
        <v>61</v>
      </c>
    </row>
    <row r="9" spans="1:4" x14ac:dyDescent="0.3">
      <c r="A9" s="35" t="s">
        <v>56</v>
      </c>
      <c r="B9" s="35" t="s">
        <v>74</v>
      </c>
      <c r="C9" s="35" t="s">
        <v>62</v>
      </c>
      <c r="D9" s="35" t="s">
        <v>63</v>
      </c>
    </row>
    <row r="10" spans="1:4" x14ac:dyDescent="0.3">
      <c r="A10" s="35" t="s">
        <v>20</v>
      </c>
      <c r="B10" s="35" t="s">
        <v>21</v>
      </c>
      <c r="C10" s="36" t="s">
        <v>24</v>
      </c>
      <c r="D10" s="35" t="s">
        <v>25</v>
      </c>
    </row>
    <row r="11" spans="1:4" x14ac:dyDescent="0.3">
      <c r="A11" s="35" t="s">
        <v>20</v>
      </c>
      <c r="B11" s="35" t="s">
        <v>21</v>
      </c>
      <c r="C11" s="36" t="s">
        <v>26</v>
      </c>
      <c r="D11" s="35" t="s">
        <v>27</v>
      </c>
    </row>
    <row r="12" spans="1:4" x14ac:dyDescent="0.3">
      <c r="A12" s="32"/>
      <c r="B12" s="32"/>
      <c r="C12" s="32"/>
      <c r="D12" s="32"/>
    </row>
    <row r="13" spans="1:4" x14ac:dyDescent="0.3">
      <c r="A13" s="32"/>
      <c r="B13" s="32"/>
      <c r="C13" s="32"/>
      <c r="D13" s="32"/>
    </row>
    <row r="14" spans="1:4" x14ac:dyDescent="0.3">
      <c r="A14" s="37" t="s">
        <v>75</v>
      </c>
      <c r="B14" s="32"/>
      <c r="C14" s="32"/>
      <c r="D14" s="32"/>
    </row>
    <row r="15" spans="1:4" x14ac:dyDescent="0.3">
      <c r="A15" s="34" t="s">
        <v>70</v>
      </c>
      <c r="B15" s="34" t="s">
        <v>71</v>
      </c>
      <c r="C15" s="34" t="s">
        <v>72</v>
      </c>
      <c r="D15" s="34" t="s">
        <v>73</v>
      </c>
    </row>
    <row r="16" spans="1:4" x14ac:dyDescent="0.3">
      <c r="A16" s="35" t="s">
        <v>40</v>
      </c>
      <c r="B16" s="35" t="s">
        <v>76</v>
      </c>
      <c r="C16" s="35" t="s">
        <v>42</v>
      </c>
      <c r="D16" s="35" t="s">
        <v>43</v>
      </c>
    </row>
    <row r="17" spans="1:4" x14ac:dyDescent="0.3">
      <c r="A17" s="35" t="s">
        <v>40</v>
      </c>
      <c r="B17" s="35" t="s">
        <v>76</v>
      </c>
      <c r="C17" s="35" t="s">
        <v>44</v>
      </c>
      <c r="D17" s="35" t="s">
        <v>45</v>
      </c>
    </row>
    <row r="18" spans="1:4" x14ac:dyDescent="0.3">
      <c r="A18" s="35" t="s">
        <v>40</v>
      </c>
      <c r="B18" s="35" t="s">
        <v>76</v>
      </c>
      <c r="C18" s="35" t="s">
        <v>46</v>
      </c>
      <c r="D18" s="35" t="s">
        <v>47</v>
      </c>
    </row>
    <row r="19" spans="1:4" x14ac:dyDescent="0.3">
      <c r="A19" s="35" t="s">
        <v>50</v>
      </c>
      <c r="B19" s="36" t="s">
        <v>31</v>
      </c>
      <c r="C19" s="36" t="s">
        <v>34</v>
      </c>
      <c r="D19" s="36" t="s">
        <v>77</v>
      </c>
    </row>
    <row r="20" spans="1:4" x14ac:dyDescent="0.3">
      <c r="A20" s="35" t="s">
        <v>50</v>
      </c>
      <c r="B20" s="35" t="s">
        <v>51</v>
      </c>
      <c r="C20" s="35" t="s">
        <v>54</v>
      </c>
      <c r="D20" s="35" t="s">
        <v>53</v>
      </c>
    </row>
    <row r="21" spans="1:4" x14ac:dyDescent="0.3">
      <c r="A21" s="32"/>
      <c r="B21" s="32"/>
      <c r="C21" s="32"/>
      <c r="D21" s="32"/>
    </row>
    <row r="22" spans="1:4" x14ac:dyDescent="0.3">
      <c r="A22" s="33" t="s">
        <v>78</v>
      </c>
      <c r="B22" s="32"/>
      <c r="C22" s="32"/>
      <c r="D22" s="32"/>
    </row>
    <row r="23" spans="1:4" x14ac:dyDescent="0.3">
      <c r="A23" s="34" t="s">
        <v>70</v>
      </c>
      <c r="B23" s="34" t="s">
        <v>71</v>
      </c>
      <c r="C23" s="34" t="s">
        <v>72</v>
      </c>
      <c r="D23" s="34" t="s">
        <v>73</v>
      </c>
    </row>
    <row r="24" spans="1:4" x14ac:dyDescent="0.3">
      <c r="A24" s="35" t="s">
        <v>30</v>
      </c>
      <c r="B24" s="35" t="s">
        <v>31</v>
      </c>
      <c r="C24" s="35" t="s">
        <v>36</v>
      </c>
      <c r="D24" s="35" t="s">
        <v>37</v>
      </c>
    </row>
    <row r="25" spans="1:4" x14ac:dyDescent="0.3">
      <c r="A25" s="35" t="s">
        <v>40</v>
      </c>
      <c r="B25" s="35" t="s">
        <v>76</v>
      </c>
      <c r="C25" s="35" t="s">
        <v>48</v>
      </c>
      <c r="D25" s="35" t="s">
        <v>49</v>
      </c>
    </row>
    <row r="26" spans="1:4" x14ac:dyDescent="0.3">
      <c r="A26" s="35" t="s">
        <v>50</v>
      </c>
      <c r="B26" s="35" t="s">
        <v>51</v>
      </c>
      <c r="C26" s="35" t="s">
        <v>79</v>
      </c>
      <c r="D26" s="35" t="s">
        <v>80</v>
      </c>
    </row>
    <row r="27" spans="1:4" x14ac:dyDescent="0.3">
      <c r="A27" s="35" t="s">
        <v>20</v>
      </c>
      <c r="B27" s="35" t="s">
        <v>21</v>
      </c>
      <c r="C27" s="36" t="s">
        <v>28</v>
      </c>
      <c r="D27" s="35" t="s">
        <v>81</v>
      </c>
    </row>
    <row r="28" spans="1:4" x14ac:dyDescent="0.3">
      <c r="A28" s="35" t="s">
        <v>30</v>
      </c>
      <c r="B28" s="35" t="s">
        <v>31</v>
      </c>
      <c r="C28" s="35" t="s">
        <v>32</v>
      </c>
      <c r="D28" s="35" t="s">
        <v>33</v>
      </c>
    </row>
    <row r="29" spans="1:4" x14ac:dyDescent="0.3">
      <c r="A29" s="35" t="s">
        <v>30</v>
      </c>
      <c r="B29" s="35" t="s">
        <v>31</v>
      </c>
      <c r="C29" s="35" t="s">
        <v>34</v>
      </c>
      <c r="D29" s="36" t="s"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"/>
  <sheetViews>
    <sheetView workbookViewId="0"/>
  </sheetViews>
  <sheetFormatPr baseColWidth="10" defaultColWidth="14.44140625" defaultRowHeight="15" customHeight="1" x14ac:dyDescent="0.3"/>
  <cols>
    <col min="1" max="1" width="25.33203125" customWidth="1"/>
  </cols>
  <sheetData>
    <row r="1" spans="1:5" x14ac:dyDescent="0.3">
      <c r="A1" s="38" t="s">
        <v>83</v>
      </c>
      <c r="B1" s="38" t="s">
        <v>6</v>
      </c>
      <c r="C1" s="38" t="s">
        <v>9</v>
      </c>
      <c r="D1" s="38" t="s">
        <v>12</v>
      </c>
      <c r="E1" s="38" t="s">
        <v>84</v>
      </c>
    </row>
    <row r="2" spans="1:5" x14ac:dyDescent="0.3">
      <c r="A2" s="39" t="s">
        <v>85</v>
      </c>
      <c r="B2" s="40">
        <v>3</v>
      </c>
      <c r="C2" s="40">
        <v>5</v>
      </c>
      <c r="D2" s="40">
        <v>5</v>
      </c>
      <c r="E2" s="40">
        <v>5</v>
      </c>
    </row>
    <row r="3" spans="1:5" x14ac:dyDescent="0.3">
      <c r="A3" s="39" t="s">
        <v>86</v>
      </c>
      <c r="B3" s="40">
        <v>3</v>
      </c>
      <c r="C3" s="40">
        <v>5</v>
      </c>
      <c r="D3" s="40">
        <v>5</v>
      </c>
      <c r="E3" s="40">
        <v>5</v>
      </c>
    </row>
    <row r="4" spans="1:5" x14ac:dyDescent="0.3">
      <c r="A4" s="39" t="s">
        <v>87</v>
      </c>
      <c r="B4" s="40">
        <v>2</v>
      </c>
      <c r="C4" s="40">
        <v>2</v>
      </c>
      <c r="D4" s="40">
        <v>3</v>
      </c>
      <c r="E4" s="40">
        <v>2</v>
      </c>
    </row>
    <row r="5" spans="1:5" x14ac:dyDescent="0.3">
      <c r="A5" s="41" t="s">
        <v>88</v>
      </c>
      <c r="B5" s="42">
        <v>3</v>
      </c>
      <c r="C5" s="42">
        <v>5</v>
      </c>
      <c r="D5" s="42">
        <v>3</v>
      </c>
      <c r="E5" s="42">
        <v>3</v>
      </c>
    </row>
    <row r="6" spans="1:5" x14ac:dyDescent="0.3">
      <c r="A6" s="39" t="s">
        <v>89</v>
      </c>
      <c r="B6" s="40">
        <v>5</v>
      </c>
      <c r="C6" s="40">
        <v>13</v>
      </c>
      <c r="D6" s="40">
        <v>8</v>
      </c>
      <c r="E6" s="40">
        <v>8</v>
      </c>
    </row>
    <row r="7" spans="1:5" x14ac:dyDescent="0.3">
      <c r="A7" s="39" t="s">
        <v>90</v>
      </c>
      <c r="B7" s="40">
        <v>5</v>
      </c>
      <c r="C7" s="40">
        <v>8</v>
      </c>
      <c r="D7" s="40">
        <v>5</v>
      </c>
      <c r="E7" s="40">
        <v>8</v>
      </c>
    </row>
    <row r="8" spans="1:5" x14ac:dyDescent="0.3">
      <c r="A8" s="39" t="s">
        <v>91</v>
      </c>
      <c r="B8" s="40">
        <v>5</v>
      </c>
      <c r="C8" s="40">
        <v>5</v>
      </c>
      <c r="D8" s="40">
        <v>5</v>
      </c>
      <c r="E8" s="40">
        <v>5</v>
      </c>
    </row>
    <row r="9" spans="1:5" x14ac:dyDescent="0.3">
      <c r="A9" s="41" t="s">
        <v>92</v>
      </c>
      <c r="B9" s="42">
        <v>8</v>
      </c>
      <c r="C9" s="42">
        <v>13</v>
      </c>
      <c r="D9" s="42">
        <v>13</v>
      </c>
      <c r="E9" s="42">
        <v>13</v>
      </c>
    </row>
    <row r="10" spans="1:5" x14ac:dyDescent="0.3">
      <c r="A10" s="39" t="s">
        <v>93</v>
      </c>
      <c r="B10" s="40">
        <v>3</v>
      </c>
      <c r="C10" s="40">
        <v>3</v>
      </c>
      <c r="D10" s="40">
        <v>3</v>
      </c>
      <c r="E10" s="40">
        <v>3</v>
      </c>
    </row>
    <row r="11" spans="1:5" x14ac:dyDescent="0.3">
      <c r="A11" s="39" t="s">
        <v>94</v>
      </c>
      <c r="B11" s="40">
        <v>3</v>
      </c>
      <c r="C11" s="43">
        <v>2</v>
      </c>
      <c r="D11" s="43">
        <v>5</v>
      </c>
      <c r="E11" s="40">
        <v>3</v>
      </c>
    </row>
    <row r="12" spans="1:5" x14ac:dyDescent="0.3">
      <c r="A12" s="39" t="s">
        <v>95</v>
      </c>
      <c r="B12" s="40">
        <v>2</v>
      </c>
      <c r="C12" s="40">
        <v>3</v>
      </c>
      <c r="D12" s="40">
        <v>3</v>
      </c>
      <c r="E12" s="40">
        <v>3</v>
      </c>
    </row>
    <row r="13" spans="1:5" x14ac:dyDescent="0.3">
      <c r="A13" s="41" t="s">
        <v>96</v>
      </c>
      <c r="B13" s="42">
        <v>3</v>
      </c>
      <c r="C13" s="42">
        <v>5</v>
      </c>
      <c r="D13" s="42">
        <v>8</v>
      </c>
      <c r="E13" s="42">
        <v>5</v>
      </c>
    </row>
    <row r="14" spans="1:5" x14ac:dyDescent="0.3">
      <c r="A14" s="39" t="s">
        <v>97</v>
      </c>
      <c r="B14" s="40">
        <v>5</v>
      </c>
      <c r="C14" s="40">
        <v>8</v>
      </c>
      <c r="D14" s="40">
        <v>13</v>
      </c>
      <c r="E14" s="40">
        <v>8</v>
      </c>
    </row>
    <row r="15" spans="1:5" x14ac:dyDescent="0.3">
      <c r="A15" s="41" t="s">
        <v>98</v>
      </c>
      <c r="B15" s="42">
        <v>3</v>
      </c>
      <c r="C15" s="42">
        <v>5</v>
      </c>
      <c r="D15" s="42">
        <v>3</v>
      </c>
      <c r="E15" s="42">
        <v>3</v>
      </c>
    </row>
    <row r="16" spans="1:5" x14ac:dyDescent="0.3">
      <c r="A16" s="39" t="s">
        <v>99</v>
      </c>
      <c r="B16" s="40">
        <v>13</v>
      </c>
      <c r="C16" s="40">
        <v>13</v>
      </c>
      <c r="D16" s="40">
        <v>13</v>
      </c>
      <c r="E16" s="40">
        <v>13</v>
      </c>
    </row>
    <row r="17" spans="1:5" x14ac:dyDescent="0.3">
      <c r="A17" s="39" t="s">
        <v>100</v>
      </c>
      <c r="B17" s="40">
        <v>3</v>
      </c>
      <c r="C17" s="40">
        <v>2</v>
      </c>
      <c r="D17" s="40">
        <v>3</v>
      </c>
      <c r="E17" s="40">
        <v>3</v>
      </c>
    </row>
    <row r="18" spans="1:5" x14ac:dyDescent="0.3">
      <c r="A18" s="41" t="s">
        <v>101</v>
      </c>
      <c r="B18" s="42">
        <v>3</v>
      </c>
      <c r="C18" s="42">
        <v>13</v>
      </c>
      <c r="D18" s="42">
        <v>8</v>
      </c>
      <c r="E18" s="42">
        <v>8</v>
      </c>
    </row>
    <row r="19" spans="1:5" x14ac:dyDescent="0.3">
      <c r="A19" s="41" t="s">
        <v>102</v>
      </c>
      <c r="B19" s="42">
        <v>2</v>
      </c>
      <c r="C19" s="42">
        <v>2</v>
      </c>
      <c r="D19" s="42">
        <v>5</v>
      </c>
      <c r="E19" s="42">
        <v>3</v>
      </c>
    </row>
    <row r="23" spans="1:5" x14ac:dyDescent="0.3">
      <c r="C23" s="4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3"/>
  <sheetViews>
    <sheetView workbookViewId="0"/>
  </sheetViews>
  <sheetFormatPr baseColWidth="10" defaultColWidth="14.44140625" defaultRowHeight="15" customHeight="1" x14ac:dyDescent="0.3"/>
  <cols>
    <col min="2" max="2" width="17.44140625" customWidth="1"/>
    <col min="4" max="4" width="16.6640625" customWidth="1"/>
    <col min="5" max="5" width="17.44140625" customWidth="1"/>
    <col min="7" max="7" width="34.44140625" customWidth="1"/>
    <col min="8" max="8" width="36.44140625" customWidth="1"/>
    <col min="9" max="9" width="68.6640625" customWidth="1"/>
    <col min="10" max="10" width="65.44140625" customWidth="1"/>
  </cols>
  <sheetData>
    <row r="1" spans="1:26" ht="19.2" x14ac:dyDescent="0.7">
      <c r="A1" s="45"/>
      <c r="B1" s="109" t="s">
        <v>103</v>
      </c>
      <c r="C1" s="110"/>
      <c r="D1" s="110"/>
      <c r="E1" s="110"/>
      <c r="F1" s="110"/>
      <c r="G1" s="110"/>
      <c r="H1" s="110"/>
      <c r="I1" s="110"/>
      <c r="J1" s="111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4.4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spans="1:26" ht="14.4" x14ac:dyDescent="0.3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</row>
    <row r="4" spans="1:26" ht="14.4" x14ac:dyDescent="0.3">
      <c r="A4" s="45"/>
      <c r="B4" s="45"/>
      <c r="C4" s="112" t="s">
        <v>104</v>
      </c>
      <c r="D4" s="113"/>
      <c r="E4" s="113"/>
      <c r="F4" s="114"/>
      <c r="G4" s="112" t="s">
        <v>105</v>
      </c>
      <c r="H4" s="113"/>
      <c r="I4" s="113"/>
      <c r="J4" s="114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spans="1:26" ht="43.2" x14ac:dyDescent="0.3">
      <c r="A5" s="45"/>
      <c r="B5" s="46" t="s">
        <v>106</v>
      </c>
      <c r="C5" s="46" t="s">
        <v>107</v>
      </c>
      <c r="D5" s="46" t="s">
        <v>108</v>
      </c>
      <c r="E5" s="46" t="s">
        <v>109</v>
      </c>
      <c r="F5" s="46" t="s">
        <v>110</v>
      </c>
      <c r="G5" s="46" t="s">
        <v>111</v>
      </c>
      <c r="H5" s="46" t="s">
        <v>112</v>
      </c>
      <c r="I5" s="46" t="s">
        <v>113</v>
      </c>
      <c r="J5" s="46" t="s">
        <v>114</v>
      </c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</row>
    <row r="6" spans="1:26" ht="115.2" x14ac:dyDescent="0.3">
      <c r="A6" s="45"/>
      <c r="B6" s="106" t="s">
        <v>115</v>
      </c>
      <c r="C6" s="106" t="s">
        <v>116</v>
      </c>
      <c r="D6" s="106" t="s">
        <v>117</v>
      </c>
      <c r="E6" s="106" t="s">
        <v>118</v>
      </c>
      <c r="F6" s="47">
        <v>1</v>
      </c>
      <c r="G6" s="48" t="s">
        <v>119</v>
      </c>
      <c r="H6" s="48" t="s">
        <v>120</v>
      </c>
      <c r="I6" s="48" t="s">
        <v>121</v>
      </c>
      <c r="J6" s="48" t="s">
        <v>122</v>
      </c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ht="129.6" x14ac:dyDescent="0.3">
      <c r="A7" s="49" t="s">
        <v>123</v>
      </c>
      <c r="B7" s="107"/>
      <c r="C7" s="107"/>
      <c r="D7" s="107"/>
      <c r="E7" s="107"/>
      <c r="F7" s="47">
        <v>2</v>
      </c>
      <c r="G7" s="48" t="s">
        <v>124</v>
      </c>
      <c r="H7" s="48" t="s">
        <v>125</v>
      </c>
      <c r="I7" s="48" t="s">
        <v>121</v>
      </c>
      <c r="J7" s="48" t="s">
        <v>126</v>
      </c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</row>
    <row r="8" spans="1:26" ht="115.2" x14ac:dyDescent="0.3">
      <c r="A8" s="45"/>
      <c r="B8" s="107"/>
      <c r="C8" s="107"/>
      <c r="D8" s="107"/>
      <c r="E8" s="107"/>
      <c r="F8" s="47">
        <v>3</v>
      </c>
      <c r="G8" s="48" t="s">
        <v>127</v>
      </c>
      <c r="H8" s="48" t="s">
        <v>128</v>
      </c>
      <c r="I8" s="48" t="s">
        <v>121</v>
      </c>
      <c r="J8" s="48" t="s">
        <v>129</v>
      </c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 spans="1:26" ht="114" customHeight="1" x14ac:dyDescent="0.3">
      <c r="A9" s="45"/>
      <c r="B9" s="108"/>
      <c r="C9" s="108"/>
      <c r="D9" s="108"/>
      <c r="E9" s="108"/>
      <c r="F9" s="47">
        <v>4</v>
      </c>
      <c r="G9" s="48" t="s">
        <v>130</v>
      </c>
      <c r="H9" s="48" t="s">
        <v>131</v>
      </c>
      <c r="I9" s="48" t="s">
        <v>121</v>
      </c>
      <c r="J9" s="48" t="s">
        <v>132</v>
      </c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</row>
    <row r="10" spans="1:26" ht="14.4" x14ac:dyDescent="0.3">
      <c r="A10" s="45"/>
      <c r="B10" s="50"/>
      <c r="C10" s="50"/>
      <c r="D10" s="50"/>
      <c r="E10" s="50"/>
      <c r="F10" s="51"/>
      <c r="G10" s="51"/>
      <c r="H10" s="51"/>
      <c r="I10" s="51"/>
      <c r="J10" s="51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115.2" x14ac:dyDescent="0.3">
      <c r="A11" s="45"/>
      <c r="B11" s="106" t="s">
        <v>133</v>
      </c>
      <c r="C11" s="106" t="s">
        <v>134</v>
      </c>
      <c r="D11" s="106" t="s">
        <v>135</v>
      </c>
      <c r="E11" s="106" t="s">
        <v>136</v>
      </c>
      <c r="F11" s="47">
        <v>1</v>
      </c>
      <c r="G11" s="48" t="s">
        <v>119</v>
      </c>
      <c r="H11" s="48" t="s">
        <v>137</v>
      </c>
      <c r="I11" s="48" t="s">
        <v>138</v>
      </c>
      <c r="J11" s="48" t="s">
        <v>139</v>
      </c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</row>
    <row r="12" spans="1:26" ht="129.6" x14ac:dyDescent="0.3">
      <c r="A12" s="49" t="s">
        <v>123</v>
      </c>
      <c r="B12" s="107"/>
      <c r="C12" s="107"/>
      <c r="D12" s="107"/>
      <c r="E12" s="107"/>
      <c r="F12" s="47">
        <v>2</v>
      </c>
      <c r="G12" s="48" t="s">
        <v>124</v>
      </c>
      <c r="H12" s="48" t="s">
        <v>140</v>
      </c>
      <c r="I12" s="48" t="s">
        <v>138</v>
      </c>
      <c r="J12" s="48" t="s">
        <v>141</v>
      </c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spans="1:26" ht="115.2" x14ac:dyDescent="0.3">
      <c r="A13" s="45"/>
      <c r="B13" s="107"/>
      <c r="C13" s="107"/>
      <c r="D13" s="107"/>
      <c r="E13" s="107"/>
      <c r="F13" s="47">
        <v>3</v>
      </c>
      <c r="G13" s="48" t="s">
        <v>127</v>
      </c>
      <c r="H13" s="48" t="s">
        <v>142</v>
      </c>
      <c r="I13" s="48" t="s">
        <v>138</v>
      </c>
      <c r="J13" s="48" t="s">
        <v>143</v>
      </c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 spans="1:26" ht="115.2" x14ac:dyDescent="0.3">
      <c r="A14" s="45"/>
      <c r="B14" s="108"/>
      <c r="C14" s="108"/>
      <c r="D14" s="108"/>
      <c r="E14" s="108"/>
      <c r="F14" s="47">
        <v>4</v>
      </c>
      <c r="G14" s="48" t="s">
        <v>130</v>
      </c>
      <c r="H14" s="48" t="s">
        <v>144</v>
      </c>
      <c r="I14" s="48" t="s">
        <v>138</v>
      </c>
      <c r="J14" s="48" t="s">
        <v>132</v>
      </c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ht="14.4" x14ac:dyDescent="0.3">
      <c r="A15" s="45"/>
      <c r="B15" s="50"/>
      <c r="C15" s="50"/>
      <c r="D15" s="50"/>
      <c r="E15" s="50"/>
      <c r="F15" s="51"/>
      <c r="G15" s="51"/>
      <c r="H15" s="51"/>
      <c r="I15" s="51"/>
      <c r="J15" s="51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</row>
    <row r="16" spans="1:26" ht="144" x14ac:dyDescent="0.3">
      <c r="A16" s="45"/>
      <c r="B16" s="106" t="s">
        <v>145</v>
      </c>
      <c r="C16" s="106" t="s">
        <v>146</v>
      </c>
      <c r="D16" s="106" t="s">
        <v>147</v>
      </c>
      <c r="E16" s="106" t="s">
        <v>148</v>
      </c>
      <c r="F16" s="47">
        <v>1</v>
      </c>
      <c r="G16" s="48" t="s">
        <v>149</v>
      </c>
      <c r="H16" s="48" t="s">
        <v>150</v>
      </c>
      <c r="I16" s="48" t="s">
        <v>151</v>
      </c>
      <c r="J16" s="48" t="s">
        <v>152</v>
      </c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</row>
    <row r="17" spans="1:26" ht="129.6" x14ac:dyDescent="0.3">
      <c r="A17" s="45"/>
      <c r="B17" s="107"/>
      <c r="C17" s="107"/>
      <c r="D17" s="107"/>
      <c r="E17" s="107"/>
      <c r="F17" s="47">
        <v>2</v>
      </c>
      <c r="G17" s="48" t="s">
        <v>153</v>
      </c>
      <c r="H17" s="48" t="s">
        <v>154</v>
      </c>
      <c r="I17" s="48" t="s">
        <v>155</v>
      </c>
      <c r="J17" s="48" t="s">
        <v>126</v>
      </c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</row>
    <row r="18" spans="1:26" ht="129.6" x14ac:dyDescent="0.3">
      <c r="A18" s="49" t="s">
        <v>123</v>
      </c>
      <c r="B18" s="107"/>
      <c r="C18" s="107"/>
      <c r="D18" s="107"/>
      <c r="E18" s="107"/>
      <c r="F18" s="47">
        <v>3</v>
      </c>
      <c r="G18" s="48" t="s">
        <v>156</v>
      </c>
      <c r="H18" s="48" t="s">
        <v>157</v>
      </c>
      <c r="I18" s="48" t="s">
        <v>155</v>
      </c>
      <c r="J18" s="48" t="s">
        <v>143</v>
      </c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ht="144" x14ac:dyDescent="0.3">
      <c r="A19" s="45"/>
      <c r="B19" s="108"/>
      <c r="C19" s="108"/>
      <c r="D19" s="108"/>
      <c r="E19" s="108"/>
      <c r="F19" s="47">
        <v>4</v>
      </c>
      <c r="G19" s="48" t="s">
        <v>158</v>
      </c>
      <c r="H19" s="48" t="s">
        <v>159</v>
      </c>
      <c r="I19" s="48" t="s">
        <v>155</v>
      </c>
      <c r="J19" s="48" t="s">
        <v>160</v>
      </c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spans="1:26" ht="14.4" x14ac:dyDescent="0.3">
      <c r="A20" s="45"/>
      <c r="B20" s="51"/>
      <c r="C20" s="51"/>
      <c r="D20" s="51"/>
      <c r="E20" s="51"/>
      <c r="F20" s="51"/>
      <c r="G20" s="51"/>
      <c r="H20" s="51"/>
      <c r="I20" s="51"/>
      <c r="J20" s="51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spans="1:26" ht="144" x14ac:dyDescent="0.3">
      <c r="A21" s="45"/>
      <c r="B21" s="106" t="s">
        <v>161</v>
      </c>
      <c r="C21" s="106" t="s">
        <v>162</v>
      </c>
      <c r="D21" s="106" t="s">
        <v>163</v>
      </c>
      <c r="E21" s="106" t="s">
        <v>148</v>
      </c>
      <c r="F21" s="47">
        <v>1</v>
      </c>
      <c r="G21" s="48" t="s">
        <v>149</v>
      </c>
      <c r="H21" s="48" t="s">
        <v>164</v>
      </c>
      <c r="I21" s="48" t="s">
        <v>155</v>
      </c>
      <c r="J21" s="48" t="s">
        <v>165</v>
      </c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 spans="1:26" ht="144" x14ac:dyDescent="0.3">
      <c r="A22" s="45"/>
      <c r="B22" s="107"/>
      <c r="C22" s="107"/>
      <c r="D22" s="107"/>
      <c r="E22" s="107"/>
      <c r="F22" s="47">
        <v>2</v>
      </c>
      <c r="G22" s="48" t="s">
        <v>153</v>
      </c>
      <c r="H22" s="48" t="s">
        <v>166</v>
      </c>
      <c r="I22" s="48" t="s">
        <v>155</v>
      </c>
      <c r="J22" s="48" t="s">
        <v>126</v>
      </c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ht="129.6" x14ac:dyDescent="0.3">
      <c r="A23" s="52" t="s">
        <v>123</v>
      </c>
      <c r="B23" s="107"/>
      <c r="C23" s="107"/>
      <c r="D23" s="107"/>
      <c r="E23" s="107"/>
      <c r="F23" s="47">
        <v>3</v>
      </c>
      <c r="G23" s="48" t="s">
        <v>156</v>
      </c>
      <c r="H23" s="48" t="s">
        <v>167</v>
      </c>
      <c r="I23" s="48" t="s">
        <v>155</v>
      </c>
      <c r="J23" s="48" t="s">
        <v>143</v>
      </c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 spans="1:26" ht="158.4" x14ac:dyDescent="0.3">
      <c r="A24" s="45"/>
      <c r="B24" s="108"/>
      <c r="C24" s="108"/>
      <c r="D24" s="108"/>
      <c r="E24" s="108"/>
      <c r="F24" s="47">
        <v>4</v>
      </c>
      <c r="G24" s="48" t="s">
        <v>158</v>
      </c>
      <c r="H24" s="48" t="s">
        <v>168</v>
      </c>
      <c r="I24" s="48" t="s">
        <v>155</v>
      </c>
      <c r="J24" s="48" t="s">
        <v>169</v>
      </c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</row>
    <row r="25" spans="1:26" ht="14.4" x14ac:dyDescent="0.3">
      <c r="A25" s="45"/>
      <c r="B25" s="50"/>
      <c r="C25" s="50"/>
      <c r="D25" s="50"/>
      <c r="E25" s="50"/>
      <c r="F25" s="51"/>
      <c r="G25" s="51"/>
      <c r="H25" s="51"/>
      <c r="I25" s="51"/>
      <c r="J25" s="51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</row>
    <row r="26" spans="1:26" ht="28.8" x14ac:dyDescent="0.3">
      <c r="A26" s="45"/>
      <c r="B26" s="106" t="s">
        <v>170</v>
      </c>
      <c r="C26" s="106" t="s">
        <v>171</v>
      </c>
      <c r="D26" s="106" t="s">
        <v>172</v>
      </c>
      <c r="E26" s="106" t="s">
        <v>173</v>
      </c>
      <c r="F26" s="47">
        <v>1</v>
      </c>
      <c r="G26" s="48" t="s">
        <v>174</v>
      </c>
      <c r="H26" s="53" t="s">
        <v>175</v>
      </c>
      <c r="I26" s="53" t="s">
        <v>176</v>
      </c>
      <c r="J26" s="54" t="s">
        <v>177</v>
      </c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ht="43.2" x14ac:dyDescent="0.3">
      <c r="A27" s="49" t="s">
        <v>178</v>
      </c>
      <c r="B27" s="107"/>
      <c r="C27" s="107"/>
      <c r="D27" s="107"/>
      <c r="E27" s="107"/>
      <c r="F27" s="47">
        <v>2</v>
      </c>
      <c r="G27" s="55" t="s">
        <v>179</v>
      </c>
      <c r="H27" s="48" t="s">
        <v>180</v>
      </c>
      <c r="I27" s="48" t="s">
        <v>180</v>
      </c>
      <c r="J27" s="48" t="s">
        <v>181</v>
      </c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 spans="1:26" ht="43.2" x14ac:dyDescent="0.3">
      <c r="A28" s="45"/>
      <c r="B28" s="107"/>
      <c r="C28" s="107"/>
      <c r="D28" s="107"/>
      <c r="E28" s="107"/>
      <c r="F28" s="47">
        <v>3</v>
      </c>
      <c r="G28" s="48" t="s">
        <v>182</v>
      </c>
      <c r="H28" s="48" t="s">
        <v>183</v>
      </c>
      <c r="I28" s="48" t="s">
        <v>184</v>
      </c>
      <c r="J28" s="48" t="s">
        <v>185</v>
      </c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</row>
    <row r="29" spans="1:26" ht="43.2" x14ac:dyDescent="0.3">
      <c r="A29" s="45"/>
      <c r="B29" s="108"/>
      <c r="C29" s="108"/>
      <c r="D29" s="108"/>
      <c r="E29" s="108"/>
      <c r="F29" s="47">
        <v>4</v>
      </c>
      <c r="G29" s="48" t="s">
        <v>186</v>
      </c>
      <c r="H29" s="48" t="s">
        <v>187</v>
      </c>
      <c r="I29" s="48" t="s">
        <v>188</v>
      </c>
      <c r="J29" s="48" t="s">
        <v>189</v>
      </c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</row>
    <row r="30" spans="1:26" ht="14.4" x14ac:dyDescent="0.3">
      <c r="A30" s="45"/>
      <c r="B30" s="50"/>
      <c r="C30" s="50"/>
      <c r="D30" s="50"/>
      <c r="E30" s="50"/>
      <c r="F30" s="51"/>
      <c r="G30" s="51"/>
      <c r="H30" s="51"/>
      <c r="I30" s="51"/>
      <c r="J30" s="51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ht="43.2" x14ac:dyDescent="0.3">
      <c r="A31" s="45"/>
      <c r="B31" s="106" t="s">
        <v>88</v>
      </c>
      <c r="C31" s="106" t="s">
        <v>171</v>
      </c>
      <c r="D31" s="106" t="s">
        <v>190</v>
      </c>
      <c r="E31" s="106" t="s">
        <v>191</v>
      </c>
      <c r="F31" s="47">
        <v>1</v>
      </c>
      <c r="G31" s="48" t="s">
        <v>192</v>
      </c>
      <c r="H31" s="48" t="s">
        <v>193</v>
      </c>
      <c r="I31" s="48" t="s">
        <v>194</v>
      </c>
      <c r="J31" s="48" t="s">
        <v>195</v>
      </c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 spans="1:26" ht="57.6" x14ac:dyDescent="0.3">
      <c r="A32" s="49" t="s">
        <v>178</v>
      </c>
      <c r="B32" s="107"/>
      <c r="C32" s="107"/>
      <c r="D32" s="107"/>
      <c r="E32" s="107"/>
      <c r="F32" s="47">
        <v>2</v>
      </c>
      <c r="G32" s="48" t="s">
        <v>196</v>
      </c>
      <c r="H32" s="48" t="s">
        <v>197</v>
      </c>
      <c r="I32" s="48" t="s">
        <v>198</v>
      </c>
      <c r="J32" s="48" t="s">
        <v>199</v>
      </c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 spans="1:26" ht="43.2" x14ac:dyDescent="0.3">
      <c r="A33" s="45"/>
      <c r="B33" s="107"/>
      <c r="C33" s="107"/>
      <c r="D33" s="107"/>
      <c r="E33" s="107"/>
      <c r="F33" s="47">
        <v>3</v>
      </c>
      <c r="G33" s="48" t="s">
        <v>200</v>
      </c>
      <c r="H33" s="48" t="s">
        <v>193</v>
      </c>
      <c r="I33" s="48" t="s">
        <v>201</v>
      </c>
      <c r="J33" s="48" t="s">
        <v>202</v>
      </c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</row>
    <row r="34" spans="1:26" ht="43.2" x14ac:dyDescent="0.3">
      <c r="A34" s="45"/>
      <c r="B34" s="108"/>
      <c r="C34" s="108"/>
      <c r="D34" s="108"/>
      <c r="E34" s="108"/>
      <c r="F34" s="47">
        <v>4</v>
      </c>
      <c r="G34" s="48" t="s">
        <v>203</v>
      </c>
      <c r="H34" s="48" t="s">
        <v>193</v>
      </c>
      <c r="I34" s="48" t="s">
        <v>204</v>
      </c>
      <c r="J34" s="48" t="s">
        <v>205</v>
      </c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ht="14.4" x14ac:dyDescent="0.3">
      <c r="A35" s="45"/>
      <c r="B35" s="50"/>
      <c r="C35" s="50"/>
      <c r="D35" s="50"/>
      <c r="E35" s="50"/>
      <c r="F35" s="51"/>
      <c r="G35" s="51"/>
      <c r="H35" s="51"/>
      <c r="I35" s="51"/>
      <c r="J35" s="51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</row>
    <row r="36" spans="1:26" ht="72" x14ac:dyDescent="0.3">
      <c r="A36" s="45"/>
      <c r="B36" s="106" t="s">
        <v>89</v>
      </c>
      <c r="C36" s="106" t="s">
        <v>206</v>
      </c>
      <c r="D36" s="106" t="s">
        <v>207</v>
      </c>
      <c r="E36" s="106" t="s">
        <v>208</v>
      </c>
      <c r="F36" s="47">
        <v>1</v>
      </c>
      <c r="G36" s="48" t="s">
        <v>209</v>
      </c>
      <c r="H36" s="48" t="s">
        <v>210</v>
      </c>
      <c r="I36" s="48" t="s">
        <v>211</v>
      </c>
      <c r="J36" s="48" t="s">
        <v>212</v>
      </c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</row>
    <row r="37" spans="1:26" ht="57.6" x14ac:dyDescent="0.3">
      <c r="A37" s="49" t="s">
        <v>178</v>
      </c>
      <c r="B37" s="107"/>
      <c r="C37" s="107"/>
      <c r="D37" s="107"/>
      <c r="E37" s="107"/>
      <c r="F37" s="47">
        <v>2</v>
      </c>
      <c r="G37" s="48" t="s">
        <v>213</v>
      </c>
      <c r="H37" s="48" t="s">
        <v>214</v>
      </c>
      <c r="I37" s="48" t="s">
        <v>215</v>
      </c>
      <c r="J37" s="48" t="s">
        <v>212</v>
      </c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</row>
    <row r="38" spans="1:26" ht="28.8" x14ac:dyDescent="0.3">
      <c r="A38" s="45"/>
      <c r="B38" s="107"/>
      <c r="C38" s="107"/>
      <c r="D38" s="107"/>
      <c r="E38" s="107"/>
      <c r="F38" s="47">
        <v>3</v>
      </c>
      <c r="G38" s="48" t="s">
        <v>216</v>
      </c>
      <c r="H38" s="48" t="s">
        <v>217</v>
      </c>
      <c r="I38" s="48" t="s">
        <v>218</v>
      </c>
      <c r="J38" s="48" t="s">
        <v>219</v>
      </c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</row>
    <row r="39" spans="1:26" ht="43.2" x14ac:dyDescent="0.3">
      <c r="A39" s="45"/>
      <c r="B39" s="108"/>
      <c r="C39" s="108"/>
      <c r="D39" s="108"/>
      <c r="E39" s="108"/>
      <c r="F39" s="47">
        <v>4</v>
      </c>
      <c r="G39" s="48" t="s">
        <v>220</v>
      </c>
      <c r="H39" s="48" t="s">
        <v>221</v>
      </c>
      <c r="I39" s="48" t="s">
        <v>222</v>
      </c>
      <c r="J39" s="48" t="s">
        <v>223</v>
      </c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</row>
    <row r="40" spans="1:26" ht="14.4" x14ac:dyDescent="0.3">
      <c r="A40" s="45"/>
      <c r="B40" s="50"/>
      <c r="C40" s="50"/>
      <c r="D40" s="50"/>
      <c r="E40" s="50"/>
      <c r="F40" s="51"/>
      <c r="G40" s="51"/>
      <c r="H40" s="51"/>
      <c r="I40" s="51"/>
      <c r="J40" s="51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</row>
    <row r="41" spans="1:26" ht="57.6" x14ac:dyDescent="0.3">
      <c r="A41" s="45"/>
      <c r="B41" s="106" t="s">
        <v>90</v>
      </c>
      <c r="C41" s="106" t="s">
        <v>206</v>
      </c>
      <c r="D41" s="106" t="s">
        <v>224</v>
      </c>
      <c r="E41" s="106" t="s">
        <v>225</v>
      </c>
      <c r="F41" s="47">
        <v>1</v>
      </c>
      <c r="G41" s="48" t="s">
        <v>226</v>
      </c>
      <c r="H41" s="48" t="s">
        <v>227</v>
      </c>
      <c r="I41" s="48" t="s">
        <v>228</v>
      </c>
      <c r="J41" s="48" t="s">
        <v>229</v>
      </c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</row>
    <row r="42" spans="1:26" ht="57.6" x14ac:dyDescent="0.3">
      <c r="A42" s="49" t="s">
        <v>230</v>
      </c>
      <c r="B42" s="107"/>
      <c r="C42" s="107"/>
      <c r="D42" s="107"/>
      <c r="E42" s="107"/>
      <c r="F42" s="47">
        <v>2</v>
      </c>
      <c r="G42" s="48" t="s">
        <v>231</v>
      </c>
      <c r="H42" s="48" t="s">
        <v>232</v>
      </c>
      <c r="I42" s="48" t="s">
        <v>228</v>
      </c>
      <c r="J42" s="48" t="s">
        <v>233</v>
      </c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</row>
    <row r="43" spans="1:26" ht="57.6" x14ac:dyDescent="0.3">
      <c r="A43" s="45"/>
      <c r="B43" s="107"/>
      <c r="C43" s="107"/>
      <c r="D43" s="107"/>
      <c r="E43" s="107"/>
      <c r="F43" s="47">
        <v>3</v>
      </c>
      <c r="G43" s="48" t="s">
        <v>234</v>
      </c>
      <c r="H43" s="48" t="s">
        <v>235</v>
      </c>
      <c r="I43" s="48" t="s">
        <v>228</v>
      </c>
      <c r="J43" s="48" t="s">
        <v>236</v>
      </c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</row>
    <row r="44" spans="1:26" ht="43.2" x14ac:dyDescent="0.3">
      <c r="A44" s="45"/>
      <c r="B44" s="108"/>
      <c r="C44" s="108"/>
      <c r="D44" s="108"/>
      <c r="E44" s="108"/>
      <c r="F44" s="47">
        <v>4</v>
      </c>
      <c r="G44" s="48" t="s">
        <v>237</v>
      </c>
      <c r="H44" s="48" t="s">
        <v>238</v>
      </c>
      <c r="I44" s="48" t="s">
        <v>228</v>
      </c>
      <c r="J44" s="48" t="s">
        <v>239</v>
      </c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</row>
    <row r="45" spans="1:26" ht="14.4" x14ac:dyDescent="0.3">
      <c r="A45" s="45"/>
      <c r="B45" s="50"/>
      <c r="C45" s="50"/>
      <c r="D45" s="50"/>
      <c r="E45" s="50"/>
      <c r="F45" s="51"/>
      <c r="G45" s="51"/>
      <c r="H45" s="51"/>
      <c r="I45" s="51"/>
      <c r="J45" s="51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</row>
    <row r="46" spans="1:26" ht="14.4" x14ac:dyDescent="0.3">
      <c r="A46" s="45"/>
      <c r="B46" s="106" t="s">
        <v>91</v>
      </c>
      <c r="C46" s="106" t="s">
        <v>240</v>
      </c>
      <c r="D46" s="106" t="s">
        <v>241</v>
      </c>
      <c r="E46" s="106" t="s">
        <v>242</v>
      </c>
      <c r="F46" s="47">
        <v>1</v>
      </c>
      <c r="G46" s="56" t="s">
        <v>243</v>
      </c>
      <c r="H46" s="56" t="s">
        <v>244</v>
      </c>
      <c r="I46" s="56" t="s">
        <v>245</v>
      </c>
      <c r="J46" s="56" t="s">
        <v>246</v>
      </c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</row>
    <row r="47" spans="1:26" ht="14.4" x14ac:dyDescent="0.3">
      <c r="A47" s="49" t="s">
        <v>230</v>
      </c>
      <c r="B47" s="107"/>
      <c r="C47" s="107"/>
      <c r="D47" s="107"/>
      <c r="E47" s="107"/>
      <c r="F47" s="47">
        <v>2</v>
      </c>
      <c r="G47" s="56" t="s">
        <v>243</v>
      </c>
      <c r="H47" s="56" t="s">
        <v>244</v>
      </c>
      <c r="I47" s="56" t="s">
        <v>245</v>
      </c>
      <c r="J47" s="56" t="s">
        <v>246</v>
      </c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</row>
    <row r="48" spans="1:26" ht="14.4" x14ac:dyDescent="0.3">
      <c r="A48" s="45"/>
      <c r="B48" s="107"/>
      <c r="C48" s="107"/>
      <c r="D48" s="107"/>
      <c r="E48" s="107"/>
      <c r="F48" s="47">
        <v>3</v>
      </c>
      <c r="G48" s="56" t="s">
        <v>243</v>
      </c>
      <c r="H48" s="56" t="s">
        <v>244</v>
      </c>
      <c r="I48" s="56" t="s">
        <v>245</v>
      </c>
      <c r="J48" s="56" t="s">
        <v>246</v>
      </c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</row>
    <row r="49" spans="1:26" ht="14.4" x14ac:dyDescent="0.3">
      <c r="A49" s="45"/>
      <c r="B49" s="108"/>
      <c r="C49" s="108"/>
      <c r="D49" s="108"/>
      <c r="E49" s="108"/>
      <c r="F49" s="47">
        <v>4</v>
      </c>
      <c r="G49" s="56" t="s">
        <v>243</v>
      </c>
      <c r="H49" s="56" t="s">
        <v>244</v>
      </c>
      <c r="I49" s="56" t="s">
        <v>245</v>
      </c>
      <c r="J49" s="56" t="s">
        <v>246</v>
      </c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</row>
    <row r="50" spans="1:26" ht="14.4" x14ac:dyDescent="0.3">
      <c r="A50" s="45"/>
      <c r="B50" s="50"/>
      <c r="C50" s="50"/>
      <c r="D50" s="50"/>
      <c r="E50" s="50"/>
      <c r="F50" s="51"/>
      <c r="G50" s="51"/>
      <c r="H50" s="51"/>
      <c r="I50" s="51"/>
      <c r="J50" s="51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</row>
    <row r="51" spans="1:26" ht="14.4" x14ac:dyDescent="0.3">
      <c r="A51" s="45"/>
      <c r="B51" s="106" t="s">
        <v>92</v>
      </c>
      <c r="C51" s="106" t="s">
        <v>247</v>
      </c>
      <c r="D51" s="106" t="s">
        <v>248</v>
      </c>
      <c r="E51" s="106" t="s">
        <v>249</v>
      </c>
      <c r="F51" s="47">
        <v>1</v>
      </c>
      <c r="G51" s="56" t="s">
        <v>243</v>
      </c>
      <c r="H51" s="56" t="s">
        <v>244</v>
      </c>
      <c r="I51" s="56" t="s">
        <v>245</v>
      </c>
      <c r="J51" s="56" t="s">
        <v>246</v>
      </c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</row>
    <row r="52" spans="1:26" ht="14.4" x14ac:dyDescent="0.3">
      <c r="A52" s="45"/>
      <c r="B52" s="107"/>
      <c r="C52" s="107"/>
      <c r="D52" s="107"/>
      <c r="E52" s="107"/>
      <c r="F52" s="47">
        <v>2</v>
      </c>
      <c r="G52" s="56" t="s">
        <v>243</v>
      </c>
      <c r="H52" s="56" t="s">
        <v>244</v>
      </c>
      <c r="I52" s="56" t="s">
        <v>245</v>
      </c>
      <c r="J52" s="56" t="s">
        <v>246</v>
      </c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</row>
    <row r="53" spans="1:26" ht="14.4" x14ac:dyDescent="0.3">
      <c r="A53" s="49" t="s">
        <v>230</v>
      </c>
      <c r="B53" s="107"/>
      <c r="C53" s="107"/>
      <c r="D53" s="107"/>
      <c r="E53" s="107"/>
      <c r="F53" s="47">
        <v>3</v>
      </c>
      <c r="G53" s="56" t="s">
        <v>243</v>
      </c>
      <c r="H53" s="56" t="s">
        <v>244</v>
      </c>
      <c r="I53" s="56" t="s">
        <v>245</v>
      </c>
      <c r="J53" s="56" t="s">
        <v>246</v>
      </c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</row>
    <row r="54" spans="1:26" ht="14.4" x14ac:dyDescent="0.3">
      <c r="A54" s="45"/>
      <c r="B54" s="108"/>
      <c r="C54" s="108"/>
      <c r="D54" s="108"/>
      <c r="E54" s="108"/>
      <c r="F54" s="47">
        <v>4</v>
      </c>
      <c r="G54" s="56" t="s">
        <v>243</v>
      </c>
      <c r="H54" s="56" t="s">
        <v>244</v>
      </c>
      <c r="I54" s="56" t="s">
        <v>245</v>
      </c>
      <c r="J54" s="56" t="s">
        <v>246</v>
      </c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</row>
    <row r="55" spans="1:26" ht="14.4" x14ac:dyDescent="0.3">
      <c r="A55" s="45"/>
      <c r="B55" s="50"/>
      <c r="C55" s="50"/>
      <c r="D55" s="50"/>
      <c r="E55" s="50"/>
      <c r="F55" s="51"/>
      <c r="G55" s="51"/>
      <c r="H55" s="51"/>
      <c r="I55" s="51"/>
      <c r="J55" s="51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</row>
    <row r="56" spans="1:26" ht="72" x14ac:dyDescent="0.3">
      <c r="A56" s="45"/>
      <c r="B56" s="106" t="s">
        <v>93</v>
      </c>
      <c r="C56" s="106" t="s">
        <v>146</v>
      </c>
      <c r="D56" s="106" t="s">
        <v>250</v>
      </c>
      <c r="E56" s="106" t="s">
        <v>251</v>
      </c>
      <c r="F56" s="47">
        <v>1</v>
      </c>
      <c r="G56" s="48" t="s">
        <v>252</v>
      </c>
      <c r="H56" s="48" t="s">
        <v>253</v>
      </c>
      <c r="I56" s="48" t="s">
        <v>254</v>
      </c>
      <c r="J56" s="48" t="s">
        <v>255</v>
      </c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</row>
    <row r="57" spans="1:26" ht="72" x14ac:dyDescent="0.3">
      <c r="A57" s="45"/>
      <c r="B57" s="107"/>
      <c r="C57" s="107"/>
      <c r="D57" s="107"/>
      <c r="E57" s="107"/>
      <c r="F57" s="47">
        <v>2</v>
      </c>
      <c r="G57" s="48" t="s">
        <v>256</v>
      </c>
      <c r="H57" s="48" t="s">
        <v>257</v>
      </c>
      <c r="I57" s="48" t="s">
        <v>258</v>
      </c>
      <c r="J57" s="48" t="s">
        <v>259</v>
      </c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</row>
    <row r="58" spans="1:26" ht="72" x14ac:dyDescent="0.3">
      <c r="A58" s="49"/>
      <c r="B58" s="107"/>
      <c r="C58" s="107"/>
      <c r="D58" s="107"/>
      <c r="E58" s="107"/>
      <c r="F58" s="57">
        <v>3</v>
      </c>
      <c r="G58" s="48" t="s">
        <v>260</v>
      </c>
      <c r="H58" s="48" t="s">
        <v>261</v>
      </c>
      <c r="I58" s="48" t="s">
        <v>258</v>
      </c>
      <c r="J58" s="48" t="s">
        <v>262</v>
      </c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 spans="1:26" ht="72" x14ac:dyDescent="0.3">
      <c r="A59" s="49" t="s">
        <v>263</v>
      </c>
      <c r="B59" s="108"/>
      <c r="C59" s="108"/>
      <c r="D59" s="108"/>
      <c r="E59" s="108"/>
      <c r="F59" s="57">
        <v>4</v>
      </c>
      <c r="G59" s="48" t="s">
        <v>264</v>
      </c>
      <c r="H59" s="48" t="s">
        <v>265</v>
      </c>
      <c r="I59" s="48" t="s">
        <v>258</v>
      </c>
      <c r="J59" s="48" t="s">
        <v>266</v>
      </c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 spans="1:26" ht="14.4" x14ac:dyDescent="0.3">
      <c r="A60" s="45"/>
      <c r="B60" s="50"/>
      <c r="C60" s="50"/>
      <c r="D60" s="50"/>
      <c r="E60" s="50"/>
      <c r="F60" s="51"/>
      <c r="G60" s="51"/>
      <c r="H60" s="51"/>
      <c r="I60" s="51"/>
      <c r="J60" s="51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 spans="1:26" ht="14.4" x14ac:dyDescent="0.3">
      <c r="A61" s="45"/>
      <c r="B61" s="116" t="s">
        <v>267</v>
      </c>
      <c r="C61" s="116" t="s">
        <v>146</v>
      </c>
      <c r="D61" s="116" t="s">
        <v>268</v>
      </c>
      <c r="E61" s="116" t="s">
        <v>269</v>
      </c>
      <c r="F61" s="58">
        <v>1</v>
      </c>
      <c r="G61" s="59" t="s">
        <v>243</v>
      </c>
      <c r="H61" s="59" t="s">
        <v>244</v>
      </c>
      <c r="I61" s="59" t="s">
        <v>245</v>
      </c>
      <c r="J61" s="59" t="s">
        <v>246</v>
      </c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 spans="1:26" ht="14.4" x14ac:dyDescent="0.3">
      <c r="A62" s="49" t="s">
        <v>263</v>
      </c>
      <c r="B62" s="107"/>
      <c r="C62" s="107"/>
      <c r="D62" s="107"/>
      <c r="E62" s="107"/>
      <c r="F62" s="58">
        <v>2</v>
      </c>
      <c r="G62" s="59" t="s">
        <v>243</v>
      </c>
      <c r="H62" s="59" t="s">
        <v>244</v>
      </c>
      <c r="I62" s="59" t="s">
        <v>245</v>
      </c>
      <c r="J62" s="59" t="s">
        <v>246</v>
      </c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 spans="1:26" ht="14.4" x14ac:dyDescent="0.3">
      <c r="A63" s="45"/>
      <c r="B63" s="107"/>
      <c r="C63" s="107"/>
      <c r="D63" s="107"/>
      <c r="E63" s="107"/>
      <c r="F63" s="58">
        <v>3</v>
      </c>
      <c r="G63" s="59" t="s">
        <v>243</v>
      </c>
      <c r="H63" s="59" t="s">
        <v>244</v>
      </c>
      <c r="I63" s="59" t="s">
        <v>245</v>
      </c>
      <c r="J63" s="59" t="s">
        <v>246</v>
      </c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 spans="1:26" ht="14.4" x14ac:dyDescent="0.3">
      <c r="A64" s="45"/>
      <c r="B64" s="108"/>
      <c r="C64" s="108"/>
      <c r="D64" s="108"/>
      <c r="E64" s="108"/>
      <c r="F64" s="58">
        <v>4</v>
      </c>
      <c r="G64" s="59" t="s">
        <v>243</v>
      </c>
      <c r="H64" s="59" t="s">
        <v>244</v>
      </c>
      <c r="I64" s="59" t="s">
        <v>245</v>
      </c>
      <c r="J64" s="59" t="s">
        <v>246</v>
      </c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spans="1:26" ht="14.4" x14ac:dyDescent="0.3">
      <c r="A65" s="45"/>
      <c r="B65" s="50"/>
      <c r="C65" s="50"/>
      <c r="D65" s="50"/>
      <c r="E65" s="50"/>
      <c r="F65" s="51"/>
      <c r="G65" s="51"/>
      <c r="H65" s="51"/>
      <c r="I65" s="51"/>
      <c r="J65" s="51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spans="1:26" ht="57.6" x14ac:dyDescent="0.3">
      <c r="A66" s="45"/>
      <c r="B66" s="106" t="s">
        <v>95</v>
      </c>
      <c r="C66" s="106" t="s">
        <v>146</v>
      </c>
      <c r="D66" s="106" t="s">
        <v>270</v>
      </c>
      <c r="E66" s="106" t="s">
        <v>271</v>
      </c>
      <c r="F66" s="47">
        <v>1</v>
      </c>
      <c r="G66" s="48" t="s">
        <v>272</v>
      </c>
      <c r="H66" s="60" t="s">
        <v>273</v>
      </c>
      <c r="I66" s="60" t="s">
        <v>274</v>
      </c>
      <c r="J66" s="48" t="s">
        <v>275</v>
      </c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spans="1:26" ht="57.6" x14ac:dyDescent="0.3">
      <c r="A67" s="49" t="s">
        <v>263</v>
      </c>
      <c r="B67" s="107"/>
      <c r="C67" s="107"/>
      <c r="D67" s="107"/>
      <c r="E67" s="107"/>
      <c r="F67" s="47">
        <v>2</v>
      </c>
      <c r="G67" s="48" t="s">
        <v>276</v>
      </c>
      <c r="H67" s="60" t="s">
        <v>273</v>
      </c>
      <c r="I67" s="61" t="s">
        <v>277</v>
      </c>
      <c r="J67" s="54" t="s">
        <v>278</v>
      </c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spans="1:26" ht="57.6" x14ac:dyDescent="0.3">
      <c r="A68" s="45"/>
      <c r="B68" s="108"/>
      <c r="C68" s="108"/>
      <c r="D68" s="108"/>
      <c r="E68" s="108"/>
      <c r="F68" s="47">
        <v>3</v>
      </c>
      <c r="G68" s="48" t="s">
        <v>279</v>
      </c>
      <c r="H68" s="60" t="s">
        <v>273</v>
      </c>
      <c r="I68" s="48" t="s">
        <v>280</v>
      </c>
      <c r="J68" s="48" t="s">
        <v>281</v>
      </c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spans="1:26" ht="14.4" x14ac:dyDescent="0.3">
      <c r="A69" s="45"/>
      <c r="B69" s="50"/>
      <c r="C69" s="50"/>
      <c r="D69" s="50"/>
      <c r="E69" s="50"/>
      <c r="F69" s="51"/>
      <c r="G69" s="51"/>
      <c r="H69" s="51"/>
      <c r="I69" s="51"/>
      <c r="J69" s="51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spans="1:26" ht="72" x14ac:dyDescent="0.3">
      <c r="A70" s="45"/>
      <c r="B70" s="106" t="s">
        <v>96</v>
      </c>
      <c r="C70" s="106" t="s">
        <v>146</v>
      </c>
      <c r="D70" s="106" t="s">
        <v>282</v>
      </c>
      <c r="E70" s="106" t="s">
        <v>283</v>
      </c>
      <c r="F70" s="62">
        <v>1</v>
      </c>
      <c r="G70" s="57" t="s">
        <v>284</v>
      </c>
      <c r="H70" s="48" t="s">
        <v>285</v>
      </c>
      <c r="I70" s="48" t="s">
        <v>286</v>
      </c>
      <c r="J70" s="48" t="s">
        <v>287</v>
      </c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1:26" ht="86.4" x14ac:dyDescent="0.3">
      <c r="A71" s="49" t="s">
        <v>288</v>
      </c>
      <c r="B71" s="107"/>
      <c r="C71" s="107"/>
      <c r="D71" s="107"/>
      <c r="E71" s="107"/>
      <c r="F71" s="62">
        <v>2</v>
      </c>
      <c r="G71" s="57" t="s">
        <v>289</v>
      </c>
      <c r="H71" s="48" t="s">
        <v>290</v>
      </c>
      <c r="I71" s="48" t="s">
        <v>286</v>
      </c>
      <c r="J71" s="48" t="s">
        <v>291</v>
      </c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1:26" ht="72" x14ac:dyDescent="0.3">
      <c r="A72" s="45"/>
      <c r="B72" s="107"/>
      <c r="C72" s="107"/>
      <c r="D72" s="107"/>
      <c r="E72" s="107"/>
      <c r="F72" s="62">
        <v>3</v>
      </c>
      <c r="G72" s="57" t="s">
        <v>292</v>
      </c>
      <c r="H72" s="48" t="s">
        <v>293</v>
      </c>
      <c r="I72" s="48" t="s">
        <v>286</v>
      </c>
      <c r="J72" s="48" t="s">
        <v>294</v>
      </c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1:26" ht="43.2" x14ac:dyDescent="0.3">
      <c r="A73" s="45"/>
      <c r="B73" s="108"/>
      <c r="C73" s="108"/>
      <c r="D73" s="108"/>
      <c r="E73" s="108"/>
      <c r="F73" s="47">
        <v>4</v>
      </c>
      <c r="G73" s="48" t="s">
        <v>295</v>
      </c>
      <c r="H73" s="48" t="s">
        <v>296</v>
      </c>
      <c r="I73" s="48" t="s">
        <v>297</v>
      </c>
      <c r="J73" s="48" t="s">
        <v>298</v>
      </c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spans="1:26" ht="14.4" x14ac:dyDescent="0.3">
      <c r="A74" s="45"/>
      <c r="B74" s="50"/>
      <c r="C74" s="50"/>
      <c r="D74" s="50"/>
      <c r="E74" s="50"/>
      <c r="F74" s="51"/>
      <c r="G74" s="51"/>
      <c r="H74" s="51"/>
      <c r="I74" s="51"/>
      <c r="J74" s="51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spans="1:26" ht="57.6" x14ac:dyDescent="0.3">
      <c r="A75" s="45"/>
      <c r="B75" s="106" t="s">
        <v>97</v>
      </c>
      <c r="C75" s="106" t="s">
        <v>146</v>
      </c>
      <c r="D75" s="106" t="s">
        <v>299</v>
      </c>
      <c r="E75" s="106" t="s">
        <v>300</v>
      </c>
      <c r="F75" s="47">
        <v>1</v>
      </c>
      <c r="G75" s="48" t="s">
        <v>301</v>
      </c>
      <c r="H75" s="48" t="s">
        <v>302</v>
      </c>
      <c r="I75" s="48" t="s">
        <v>303</v>
      </c>
      <c r="J75" s="48" t="s">
        <v>304</v>
      </c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spans="1:26" ht="57.6" x14ac:dyDescent="0.3">
      <c r="A76" s="45"/>
      <c r="B76" s="107"/>
      <c r="C76" s="107"/>
      <c r="D76" s="107"/>
      <c r="E76" s="107"/>
      <c r="F76" s="47">
        <v>2</v>
      </c>
      <c r="G76" s="48" t="s">
        <v>305</v>
      </c>
      <c r="H76" s="48" t="s">
        <v>306</v>
      </c>
      <c r="I76" s="48" t="s">
        <v>303</v>
      </c>
      <c r="J76" s="48" t="s">
        <v>307</v>
      </c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spans="1:26" ht="57.6" x14ac:dyDescent="0.3">
      <c r="A77" s="49" t="s">
        <v>288</v>
      </c>
      <c r="B77" s="107"/>
      <c r="C77" s="107"/>
      <c r="D77" s="107"/>
      <c r="E77" s="107"/>
      <c r="F77" s="47">
        <v>3</v>
      </c>
      <c r="G77" s="48" t="s">
        <v>308</v>
      </c>
      <c r="H77" s="48" t="s">
        <v>309</v>
      </c>
      <c r="I77" s="48" t="s">
        <v>310</v>
      </c>
      <c r="J77" s="48" t="s">
        <v>311</v>
      </c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spans="1:26" ht="43.2" x14ac:dyDescent="0.3">
      <c r="A78" s="45"/>
      <c r="B78" s="108"/>
      <c r="C78" s="108"/>
      <c r="D78" s="108"/>
      <c r="E78" s="108"/>
      <c r="F78" s="47">
        <v>4</v>
      </c>
      <c r="G78" s="48" t="s">
        <v>312</v>
      </c>
      <c r="H78" s="48" t="s">
        <v>313</v>
      </c>
      <c r="I78" s="48" t="s">
        <v>314</v>
      </c>
      <c r="J78" s="48" t="s">
        <v>315</v>
      </c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spans="1:26" ht="14.4" x14ac:dyDescent="0.3">
      <c r="A79" s="45"/>
      <c r="B79" s="50"/>
      <c r="C79" s="50"/>
      <c r="D79" s="50"/>
      <c r="E79" s="50"/>
      <c r="F79" s="51"/>
      <c r="G79" s="51"/>
      <c r="H79" s="51"/>
      <c r="I79" s="51"/>
      <c r="J79" s="51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spans="1:26" ht="72" x14ac:dyDescent="0.3">
      <c r="A80" s="45"/>
      <c r="B80" s="106" t="s">
        <v>98</v>
      </c>
      <c r="C80" s="106" t="s">
        <v>316</v>
      </c>
      <c r="D80" s="106" t="s">
        <v>317</v>
      </c>
      <c r="E80" s="106" t="s">
        <v>318</v>
      </c>
      <c r="F80" s="47">
        <v>1</v>
      </c>
      <c r="G80" s="48" t="s">
        <v>192</v>
      </c>
      <c r="H80" s="48" t="s">
        <v>319</v>
      </c>
      <c r="I80" s="48" t="s">
        <v>320</v>
      </c>
      <c r="J80" s="48" t="s">
        <v>321</v>
      </c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spans="1:26" ht="57.6" x14ac:dyDescent="0.3">
      <c r="A81" s="49" t="s">
        <v>288</v>
      </c>
      <c r="B81" s="107"/>
      <c r="C81" s="107"/>
      <c r="D81" s="107"/>
      <c r="E81" s="107"/>
      <c r="F81" s="47">
        <v>2</v>
      </c>
      <c r="G81" s="48" t="s">
        <v>203</v>
      </c>
      <c r="H81" s="48" t="s">
        <v>322</v>
      </c>
      <c r="I81" s="48" t="s">
        <v>323</v>
      </c>
      <c r="J81" s="48" t="s">
        <v>324</v>
      </c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spans="1:26" ht="86.4" x14ac:dyDescent="0.3">
      <c r="A82" s="45"/>
      <c r="B82" s="107"/>
      <c r="C82" s="107"/>
      <c r="D82" s="107"/>
      <c r="E82" s="107"/>
      <c r="F82" s="47">
        <v>3</v>
      </c>
      <c r="G82" s="48" t="s">
        <v>325</v>
      </c>
      <c r="H82" s="48" t="s">
        <v>326</v>
      </c>
      <c r="I82" s="53" t="s">
        <v>320</v>
      </c>
      <c r="J82" s="48" t="s">
        <v>327</v>
      </c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spans="1:26" ht="86.4" x14ac:dyDescent="0.3">
      <c r="A83" s="45"/>
      <c r="B83" s="108"/>
      <c r="C83" s="108"/>
      <c r="D83" s="108"/>
      <c r="E83" s="108"/>
      <c r="F83" s="47">
        <v>4</v>
      </c>
      <c r="G83" s="48" t="s">
        <v>328</v>
      </c>
      <c r="H83" s="48" t="s">
        <v>329</v>
      </c>
      <c r="I83" s="48" t="s">
        <v>320</v>
      </c>
      <c r="J83" s="48" t="s">
        <v>330</v>
      </c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spans="1:26" ht="14.4" x14ac:dyDescent="0.3">
      <c r="A84" s="45"/>
      <c r="B84" s="50"/>
      <c r="C84" s="50"/>
      <c r="D84" s="50"/>
      <c r="E84" s="50"/>
      <c r="F84" s="51"/>
      <c r="G84" s="51"/>
      <c r="H84" s="51"/>
      <c r="I84" s="51"/>
      <c r="J84" s="51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spans="1:26" ht="57.6" x14ac:dyDescent="0.3">
      <c r="A85" s="45"/>
      <c r="B85" s="106" t="s">
        <v>99</v>
      </c>
      <c r="C85" s="106" t="s">
        <v>162</v>
      </c>
      <c r="D85" s="106" t="s">
        <v>331</v>
      </c>
      <c r="E85" s="106" t="s">
        <v>332</v>
      </c>
      <c r="F85" s="47">
        <v>1</v>
      </c>
      <c r="G85" s="48" t="s">
        <v>333</v>
      </c>
      <c r="H85" s="48" t="s">
        <v>334</v>
      </c>
      <c r="I85" s="48" t="s">
        <v>335</v>
      </c>
      <c r="J85" s="48" t="s">
        <v>336</v>
      </c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spans="1:26" ht="72" x14ac:dyDescent="0.3">
      <c r="A86" s="49" t="s">
        <v>337</v>
      </c>
      <c r="B86" s="107"/>
      <c r="C86" s="107"/>
      <c r="D86" s="107"/>
      <c r="E86" s="107"/>
      <c r="F86" s="58">
        <v>2</v>
      </c>
      <c r="G86" s="63" t="s">
        <v>124</v>
      </c>
      <c r="H86" s="64" t="s">
        <v>338</v>
      </c>
      <c r="I86" s="64" t="s">
        <v>335</v>
      </c>
      <c r="J86" s="64" t="s">
        <v>339</v>
      </c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spans="1:26" ht="57.6" x14ac:dyDescent="0.3">
      <c r="A87" s="45"/>
      <c r="B87" s="107"/>
      <c r="C87" s="107"/>
      <c r="D87" s="107"/>
      <c r="E87" s="107"/>
      <c r="F87" s="47">
        <v>3</v>
      </c>
      <c r="G87" s="48" t="s">
        <v>127</v>
      </c>
      <c r="H87" s="48" t="s">
        <v>340</v>
      </c>
      <c r="I87" s="48" t="s">
        <v>335</v>
      </c>
      <c r="J87" s="48" t="s">
        <v>341</v>
      </c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spans="1:26" ht="57.6" x14ac:dyDescent="0.3">
      <c r="A88" s="45"/>
      <c r="B88" s="108"/>
      <c r="C88" s="108"/>
      <c r="D88" s="108"/>
      <c r="E88" s="108"/>
      <c r="F88" s="47">
        <v>4</v>
      </c>
      <c r="G88" s="48" t="s">
        <v>342</v>
      </c>
      <c r="H88" s="48" t="s">
        <v>343</v>
      </c>
      <c r="I88" s="48" t="s">
        <v>335</v>
      </c>
      <c r="J88" s="48" t="s">
        <v>344</v>
      </c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spans="1:26" ht="14.4" x14ac:dyDescent="0.3">
      <c r="A89" s="45"/>
      <c r="B89" s="50"/>
      <c r="C89" s="50"/>
      <c r="D89" s="50"/>
      <c r="E89" s="50"/>
      <c r="F89" s="51"/>
      <c r="G89" s="51"/>
      <c r="H89" s="51"/>
      <c r="I89" s="51"/>
      <c r="J89" s="51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spans="1:26" ht="28.8" x14ac:dyDescent="0.3">
      <c r="A90" s="45"/>
      <c r="B90" s="106" t="s">
        <v>100</v>
      </c>
      <c r="C90" s="106" t="s">
        <v>162</v>
      </c>
      <c r="D90" s="106" t="s">
        <v>345</v>
      </c>
      <c r="E90" s="106" t="s">
        <v>346</v>
      </c>
      <c r="F90" s="47">
        <v>1</v>
      </c>
      <c r="G90" s="48" t="s">
        <v>347</v>
      </c>
      <c r="H90" s="48" t="s">
        <v>348</v>
      </c>
      <c r="I90" s="48" t="s">
        <v>349</v>
      </c>
      <c r="J90" s="48" t="s">
        <v>350</v>
      </c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spans="1:26" ht="43.2" x14ac:dyDescent="0.3">
      <c r="A91" s="49" t="s">
        <v>337</v>
      </c>
      <c r="B91" s="107"/>
      <c r="C91" s="107"/>
      <c r="D91" s="107"/>
      <c r="E91" s="107"/>
      <c r="F91" s="47">
        <v>2</v>
      </c>
      <c r="G91" s="64" t="s">
        <v>351</v>
      </c>
      <c r="H91" s="64" t="s">
        <v>352</v>
      </c>
      <c r="I91" s="64" t="s">
        <v>184</v>
      </c>
      <c r="J91" s="64" t="s">
        <v>353</v>
      </c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spans="1:26" ht="57.6" x14ac:dyDescent="0.3">
      <c r="A92" s="45"/>
      <c r="B92" s="107"/>
      <c r="C92" s="107"/>
      <c r="D92" s="107"/>
      <c r="E92" s="107"/>
      <c r="F92" s="47">
        <v>3</v>
      </c>
      <c r="G92" s="48" t="s">
        <v>354</v>
      </c>
      <c r="H92" s="48" t="s">
        <v>355</v>
      </c>
      <c r="I92" s="48" t="s">
        <v>184</v>
      </c>
      <c r="J92" s="48" t="s">
        <v>356</v>
      </c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spans="1:26" ht="57.6" x14ac:dyDescent="0.3">
      <c r="A93" s="45"/>
      <c r="B93" s="108"/>
      <c r="C93" s="108"/>
      <c r="D93" s="108"/>
      <c r="E93" s="108"/>
      <c r="F93" s="47">
        <v>4</v>
      </c>
      <c r="G93" s="48" t="s">
        <v>357</v>
      </c>
      <c r="H93" s="48" t="s">
        <v>358</v>
      </c>
      <c r="I93" s="48" t="s">
        <v>359</v>
      </c>
      <c r="J93" s="48" t="s">
        <v>360</v>
      </c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spans="1:26" ht="14.4" x14ac:dyDescent="0.3">
      <c r="A94" s="45"/>
      <c r="B94" s="50"/>
      <c r="C94" s="50"/>
      <c r="D94" s="50"/>
      <c r="E94" s="50"/>
      <c r="F94" s="51"/>
      <c r="G94" s="51"/>
      <c r="H94" s="51"/>
      <c r="I94" s="51"/>
      <c r="J94" s="51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spans="1:26" ht="57.6" x14ac:dyDescent="0.3">
      <c r="A95" s="45"/>
      <c r="B95" s="106" t="s">
        <v>101</v>
      </c>
      <c r="C95" s="106" t="s">
        <v>162</v>
      </c>
      <c r="D95" s="106" t="s">
        <v>361</v>
      </c>
      <c r="E95" s="106" t="s">
        <v>362</v>
      </c>
      <c r="F95" s="47">
        <v>1</v>
      </c>
      <c r="G95" s="48" t="s">
        <v>363</v>
      </c>
      <c r="H95" s="48" t="s">
        <v>364</v>
      </c>
      <c r="I95" s="48" t="s">
        <v>365</v>
      </c>
      <c r="J95" s="48" t="s">
        <v>366</v>
      </c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spans="1:26" ht="43.2" x14ac:dyDescent="0.3">
      <c r="A96" s="49" t="s">
        <v>337</v>
      </c>
      <c r="B96" s="107"/>
      <c r="C96" s="107"/>
      <c r="D96" s="107"/>
      <c r="E96" s="107"/>
      <c r="F96" s="47">
        <v>2</v>
      </c>
      <c r="G96" s="48" t="s">
        <v>367</v>
      </c>
      <c r="H96" s="48" t="s">
        <v>368</v>
      </c>
      <c r="I96" s="48" t="s">
        <v>369</v>
      </c>
      <c r="J96" s="48" t="s">
        <v>370</v>
      </c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spans="1:26" ht="57.6" x14ac:dyDescent="0.3">
      <c r="A97" s="45"/>
      <c r="B97" s="107"/>
      <c r="C97" s="107"/>
      <c r="D97" s="107"/>
      <c r="E97" s="107"/>
      <c r="F97" s="47">
        <v>3</v>
      </c>
      <c r="G97" s="48" t="s">
        <v>371</v>
      </c>
      <c r="H97" s="48" t="s">
        <v>372</v>
      </c>
      <c r="I97" s="48" t="s">
        <v>369</v>
      </c>
      <c r="J97" s="48" t="s">
        <v>373</v>
      </c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spans="1:26" ht="57.6" x14ac:dyDescent="0.3">
      <c r="A98" s="45"/>
      <c r="B98" s="108"/>
      <c r="C98" s="108"/>
      <c r="D98" s="108"/>
      <c r="E98" s="108"/>
      <c r="F98" s="47">
        <v>4</v>
      </c>
      <c r="G98" s="48" t="s">
        <v>374</v>
      </c>
      <c r="H98" s="48" t="s">
        <v>375</v>
      </c>
      <c r="I98" s="48" t="s">
        <v>369</v>
      </c>
      <c r="J98" s="48" t="s">
        <v>376</v>
      </c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spans="1:26" ht="14.4" x14ac:dyDescent="0.3">
      <c r="A99" s="45"/>
      <c r="B99" s="50"/>
      <c r="C99" s="50"/>
      <c r="D99" s="50"/>
      <c r="E99" s="50"/>
      <c r="F99" s="51"/>
      <c r="G99" s="51"/>
      <c r="H99" s="51"/>
      <c r="I99" s="51"/>
      <c r="J99" s="51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spans="1:26" ht="72" x14ac:dyDescent="0.3">
      <c r="A100" s="45"/>
      <c r="B100" s="106" t="s">
        <v>377</v>
      </c>
      <c r="C100" s="106" t="s">
        <v>378</v>
      </c>
      <c r="D100" s="106" t="s">
        <v>379</v>
      </c>
      <c r="E100" s="106" t="s">
        <v>380</v>
      </c>
      <c r="F100" s="47">
        <v>1</v>
      </c>
      <c r="G100" s="48" t="s">
        <v>381</v>
      </c>
      <c r="H100" s="48" t="s">
        <v>382</v>
      </c>
      <c r="I100" s="48" t="s">
        <v>383</v>
      </c>
      <c r="J100" s="48" t="s">
        <v>384</v>
      </c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spans="1:26" ht="43.2" x14ac:dyDescent="0.3">
      <c r="A101" s="45"/>
      <c r="B101" s="107"/>
      <c r="C101" s="107"/>
      <c r="D101" s="107"/>
      <c r="E101" s="107"/>
      <c r="F101" s="47">
        <v>2</v>
      </c>
      <c r="G101" s="48" t="s">
        <v>385</v>
      </c>
      <c r="H101" s="48" t="s">
        <v>386</v>
      </c>
      <c r="I101" s="48" t="s">
        <v>383</v>
      </c>
      <c r="J101" s="48" t="s">
        <v>387</v>
      </c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spans="1:26" ht="43.2" x14ac:dyDescent="0.3">
      <c r="A102" s="49" t="s">
        <v>337</v>
      </c>
      <c r="B102" s="107"/>
      <c r="C102" s="107"/>
      <c r="D102" s="107"/>
      <c r="E102" s="107"/>
      <c r="F102" s="47">
        <v>3</v>
      </c>
      <c r="G102" s="48" t="s">
        <v>388</v>
      </c>
      <c r="H102" s="48" t="s">
        <v>389</v>
      </c>
      <c r="I102" s="48" t="s">
        <v>383</v>
      </c>
      <c r="J102" s="48" t="s">
        <v>390</v>
      </c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spans="1:26" ht="28.8" x14ac:dyDescent="0.3">
      <c r="A103" s="45"/>
      <c r="B103" s="108"/>
      <c r="C103" s="108"/>
      <c r="D103" s="108"/>
      <c r="E103" s="108"/>
      <c r="F103" s="47">
        <v>4</v>
      </c>
      <c r="G103" s="48" t="s">
        <v>391</v>
      </c>
      <c r="H103" s="48" t="s">
        <v>392</v>
      </c>
      <c r="I103" s="48" t="s">
        <v>383</v>
      </c>
      <c r="J103" s="48" t="s">
        <v>393</v>
      </c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spans="1:26" ht="14.4" x14ac:dyDescent="0.3">
      <c r="A104" s="45"/>
      <c r="B104" s="50"/>
      <c r="C104" s="50"/>
      <c r="D104" s="50"/>
      <c r="E104" s="50"/>
      <c r="F104" s="51"/>
      <c r="G104" s="51"/>
      <c r="H104" s="51"/>
      <c r="I104" s="51"/>
      <c r="J104" s="51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spans="1:26" ht="28.8" x14ac:dyDescent="0.3">
      <c r="A105" s="45"/>
      <c r="B105" s="106" t="s">
        <v>394</v>
      </c>
      <c r="C105" s="106" t="s">
        <v>378</v>
      </c>
      <c r="D105" s="106" t="s">
        <v>395</v>
      </c>
      <c r="E105" s="106" t="s">
        <v>396</v>
      </c>
      <c r="F105" s="47">
        <v>1</v>
      </c>
      <c r="G105" s="48" t="s">
        <v>397</v>
      </c>
      <c r="H105" s="48" t="s">
        <v>398</v>
      </c>
      <c r="I105" s="48" t="s">
        <v>399</v>
      </c>
      <c r="J105" s="48" t="s">
        <v>400</v>
      </c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spans="1:26" ht="43.2" x14ac:dyDescent="0.3">
      <c r="A106" s="49"/>
      <c r="B106" s="107"/>
      <c r="C106" s="107"/>
      <c r="D106" s="107"/>
      <c r="E106" s="107"/>
      <c r="F106" s="47">
        <v>2</v>
      </c>
      <c r="G106" s="48" t="s">
        <v>401</v>
      </c>
      <c r="H106" s="48" t="s">
        <v>402</v>
      </c>
      <c r="I106" s="48" t="s">
        <v>403</v>
      </c>
      <c r="J106" s="48" t="s">
        <v>404</v>
      </c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spans="1:26" ht="28.8" x14ac:dyDescent="0.3">
      <c r="A107" s="45"/>
      <c r="B107" s="107"/>
      <c r="C107" s="107"/>
      <c r="D107" s="107"/>
      <c r="E107" s="107"/>
      <c r="F107" s="47">
        <v>3</v>
      </c>
      <c r="G107" s="48" t="s">
        <v>405</v>
      </c>
      <c r="H107" s="48" t="s">
        <v>406</v>
      </c>
      <c r="I107" s="48" t="s">
        <v>399</v>
      </c>
      <c r="J107" s="48" t="s">
        <v>407</v>
      </c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spans="1:26" ht="28.8" x14ac:dyDescent="0.3">
      <c r="A108" s="65"/>
      <c r="B108" s="108"/>
      <c r="C108" s="108"/>
      <c r="D108" s="108"/>
      <c r="E108" s="108"/>
      <c r="F108" s="47">
        <v>4</v>
      </c>
      <c r="G108" s="48" t="s">
        <v>408</v>
      </c>
      <c r="H108" s="48" t="s">
        <v>409</v>
      </c>
      <c r="I108" s="48" t="s">
        <v>399</v>
      </c>
      <c r="J108" s="48" t="s">
        <v>410</v>
      </c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spans="1:26" ht="14.4" x14ac:dyDescent="0.3">
      <c r="A109" s="66"/>
      <c r="B109" s="67"/>
      <c r="C109" s="67"/>
      <c r="D109" s="67"/>
      <c r="E109" s="67"/>
      <c r="F109" s="67"/>
      <c r="G109" s="67"/>
      <c r="H109" s="67"/>
      <c r="I109" s="67"/>
      <c r="J109" s="67"/>
      <c r="K109" s="68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spans="1:26" ht="14.4" x14ac:dyDescent="0.3">
      <c r="A110" s="69"/>
      <c r="B110" s="115"/>
      <c r="C110" s="115"/>
      <c r="D110" s="115"/>
      <c r="E110" s="115"/>
      <c r="F110" s="71"/>
      <c r="G110" s="70"/>
      <c r="H110" s="70"/>
      <c r="I110" s="70"/>
      <c r="J110" s="70"/>
      <c r="K110" s="68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spans="1:26" ht="14.4" x14ac:dyDescent="0.3">
      <c r="A111" s="69"/>
      <c r="B111" s="94"/>
      <c r="C111" s="94"/>
      <c r="D111" s="94"/>
      <c r="E111" s="94"/>
      <c r="F111" s="71"/>
      <c r="G111" s="70"/>
      <c r="H111" s="70"/>
      <c r="I111" s="70"/>
      <c r="J111" s="70"/>
      <c r="K111" s="68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spans="1:26" ht="14.4" x14ac:dyDescent="0.3">
      <c r="A112" s="69"/>
      <c r="B112" s="94"/>
      <c r="C112" s="94"/>
      <c r="D112" s="94"/>
      <c r="E112" s="94"/>
      <c r="F112" s="71"/>
      <c r="G112" s="70"/>
      <c r="H112" s="70"/>
      <c r="I112" s="70"/>
      <c r="J112" s="70"/>
      <c r="K112" s="68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spans="1:26" ht="14.4" x14ac:dyDescent="0.3">
      <c r="A113" s="69"/>
      <c r="B113" s="94"/>
      <c r="C113" s="94"/>
      <c r="D113" s="94"/>
      <c r="E113" s="94"/>
      <c r="F113" s="71"/>
      <c r="G113" s="70"/>
      <c r="H113" s="70"/>
      <c r="I113" s="70"/>
      <c r="J113" s="70"/>
      <c r="K113" s="68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spans="1:26" ht="14.4" x14ac:dyDescent="0.3">
      <c r="A114" s="66"/>
      <c r="B114" s="67"/>
      <c r="C114" s="67"/>
      <c r="D114" s="67"/>
      <c r="E114" s="67"/>
      <c r="F114" s="67"/>
      <c r="G114" s="67"/>
      <c r="H114" s="67"/>
      <c r="I114" s="67"/>
      <c r="J114" s="67"/>
      <c r="K114" s="68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spans="1:26" ht="14.4" x14ac:dyDescent="0.3">
      <c r="A115" s="69"/>
      <c r="B115" s="115"/>
      <c r="C115" s="115"/>
      <c r="D115" s="115"/>
      <c r="E115" s="115"/>
      <c r="F115" s="71"/>
      <c r="G115" s="70"/>
      <c r="H115" s="70"/>
      <c r="I115" s="70"/>
      <c r="J115" s="70"/>
      <c r="K115" s="68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spans="1:26" ht="14.4" x14ac:dyDescent="0.3">
      <c r="A116" s="69"/>
      <c r="B116" s="94"/>
      <c r="C116" s="94"/>
      <c r="D116" s="94"/>
      <c r="E116" s="94"/>
      <c r="F116" s="71"/>
      <c r="G116" s="70"/>
      <c r="H116" s="70"/>
      <c r="I116" s="70"/>
      <c r="J116" s="70"/>
      <c r="K116" s="68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spans="1:26" ht="14.4" x14ac:dyDescent="0.3">
      <c r="A117" s="69"/>
      <c r="B117" s="94"/>
      <c r="C117" s="94"/>
      <c r="D117" s="94"/>
      <c r="E117" s="94"/>
      <c r="F117" s="71"/>
      <c r="G117" s="70"/>
      <c r="H117" s="70"/>
      <c r="I117" s="70"/>
      <c r="J117" s="70"/>
      <c r="K117" s="68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spans="1:26" ht="14.4" x14ac:dyDescent="0.3">
      <c r="A118" s="69"/>
      <c r="B118" s="94"/>
      <c r="C118" s="94"/>
      <c r="D118" s="94"/>
      <c r="E118" s="94"/>
      <c r="F118" s="71"/>
      <c r="G118" s="70"/>
      <c r="H118" s="70"/>
      <c r="I118" s="70"/>
      <c r="J118" s="70"/>
      <c r="K118" s="68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spans="1:26" ht="14.4" x14ac:dyDescent="0.3">
      <c r="A119" s="66"/>
      <c r="B119" s="67"/>
      <c r="C119" s="67"/>
      <c r="D119" s="67"/>
      <c r="E119" s="67"/>
      <c r="F119" s="67"/>
      <c r="G119" s="67"/>
      <c r="H119" s="67"/>
      <c r="I119" s="67"/>
      <c r="J119" s="67"/>
      <c r="K119" s="68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spans="1:26" ht="14.4" x14ac:dyDescent="0.3">
      <c r="A120" s="69"/>
      <c r="B120" s="115"/>
      <c r="C120" s="115"/>
      <c r="D120" s="115"/>
      <c r="E120" s="115"/>
      <c r="F120" s="71"/>
      <c r="G120" s="70"/>
      <c r="H120" s="70"/>
      <c r="I120" s="70"/>
      <c r="J120" s="70"/>
      <c r="K120" s="68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spans="1:26" ht="14.4" x14ac:dyDescent="0.3">
      <c r="A121" s="69"/>
      <c r="B121" s="94"/>
      <c r="C121" s="94"/>
      <c r="D121" s="94"/>
      <c r="E121" s="94"/>
      <c r="F121" s="71"/>
      <c r="G121" s="70"/>
      <c r="H121" s="70"/>
      <c r="I121" s="70"/>
      <c r="J121" s="70"/>
      <c r="K121" s="68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spans="1:26" ht="14.4" x14ac:dyDescent="0.3">
      <c r="A122" s="69"/>
      <c r="B122" s="94"/>
      <c r="C122" s="94"/>
      <c r="D122" s="94"/>
      <c r="E122" s="94"/>
      <c r="F122" s="71"/>
      <c r="G122" s="70"/>
      <c r="H122" s="70"/>
      <c r="I122" s="70"/>
      <c r="J122" s="70"/>
      <c r="K122" s="68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spans="1:26" ht="14.4" x14ac:dyDescent="0.3">
      <c r="A123" s="69"/>
      <c r="B123" s="94"/>
      <c r="C123" s="94"/>
      <c r="D123" s="94"/>
      <c r="E123" s="94"/>
      <c r="F123" s="71"/>
      <c r="G123" s="70"/>
      <c r="H123" s="70"/>
      <c r="I123" s="70"/>
      <c r="J123" s="70"/>
      <c r="K123" s="72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</row>
    <row r="124" spans="1:26" ht="14.4" x14ac:dyDescent="0.3">
      <c r="A124" s="66"/>
      <c r="B124" s="67"/>
      <c r="C124" s="67"/>
      <c r="D124" s="67"/>
      <c r="E124" s="67"/>
      <c r="F124" s="67"/>
      <c r="G124" s="67"/>
      <c r="H124" s="67"/>
      <c r="I124" s="67"/>
      <c r="J124" s="67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4.4" x14ac:dyDescent="0.3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spans="1:26" ht="14.4" x14ac:dyDescent="0.3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spans="1:26" ht="14.4" x14ac:dyDescent="0.3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spans="1:26" ht="14.4" x14ac:dyDescent="0.3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spans="1:26" ht="14.4" x14ac:dyDescent="0.3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spans="1:26" ht="14.4" x14ac:dyDescent="0.3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spans="1:26" ht="14.4" x14ac:dyDescent="0.3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spans="1:26" ht="14.4" x14ac:dyDescent="0.3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spans="1:26" ht="14.4" x14ac:dyDescent="0.3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spans="1:26" ht="14.4" x14ac:dyDescent="0.3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spans="1:26" ht="14.4" x14ac:dyDescent="0.3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spans="1:26" ht="14.4" x14ac:dyDescent="0.3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spans="1:26" ht="14.4" x14ac:dyDescent="0.3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spans="1:26" ht="14.4" x14ac:dyDescent="0.3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spans="1:26" ht="14.4" x14ac:dyDescent="0.3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spans="1:26" ht="14.4" x14ac:dyDescent="0.3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spans="1:26" ht="14.4" x14ac:dyDescent="0.3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spans="1:26" ht="14.4" x14ac:dyDescent="0.3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spans="1:26" ht="14.4" x14ac:dyDescent="0.3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spans="1:26" ht="14.4" x14ac:dyDescent="0.3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spans="1:26" ht="14.4" x14ac:dyDescent="0.3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spans="1:26" ht="14.4" x14ac:dyDescent="0.3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spans="1:26" ht="14.4" x14ac:dyDescent="0.3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spans="1:26" ht="14.4" x14ac:dyDescent="0.3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spans="1:26" ht="14.4" x14ac:dyDescent="0.3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spans="1:26" ht="14.4" x14ac:dyDescent="0.3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spans="1:26" ht="14.4" x14ac:dyDescent="0.3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spans="1:26" ht="14.4" x14ac:dyDescent="0.3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spans="1:26" ht="14.4" x14ac:dyDescent="0.3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spans="1:26" ht="14.4" x14ac:dyDescent="0.3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spans="1:26" ht="14.4" x14ac:dyDescent="0.3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spans="1:26" ht="14.4" x14ac:dyDescent="0.3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spans="1:26" ht="14.4" x14ac:dyDescent="0.3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spans="1:26" ht="14.4" x14ac:dyDescent="0.3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spans="1:26" ht="14.4" x14ac:dyDescent="0.3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spans="1:26" ht="14.4" x14ac:dyDescent="0.3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spans="1:26" ht="14.4" x14ac:dyDescent="0.3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spans="1:26" ht="14.4" x14ac:dyDescent="0.3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spans="1:26" ht="14.4" x14ac:dyDescent="0.3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spans="1:26" ht="14.4" x14ac:dyDescent="0.3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spans="1:26" ht="14.4" x14ac:dyDescent="0.3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spans="1:26" ht="14.4" x14ac:dyDescent="0.3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spans="1:26" ht="14.4" x14ac:dyDescent="0.3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spans="1:26" ht="14.4" x14ac:dyDescent="0.3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spans="1:26" ht="14.4" x14ac:dyDescent="0.3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spans="1:26" ht="14.4" x14ac:dyDescent="0.3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spans="1:26" ht="14.4" x14ac:dyDescent="0.3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spans="1:26" ht="14.4" x14ac:dyDescent="0.3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spans="1:26" ht="14.4" x14ac:dyDescent="0.3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spans="1:26" ht="14.4" x14ac:dyDescent="0.3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spans="1:26" ht="14.4" x14ac:dyDescent="0.3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spans="1:26" ht="14.4" x14ac:dyDescent="0.3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spans="1:26" ht="14.4" x14ac:dyDescent="0.3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spans="1:26" ht="14.4" x14ac:dyDescent="0.3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spans="1:26" ht="14.4" x14ac:dyDescent="0.3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spans="1:26" ht="14.4" x14ac:dyDescent="0.3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spans="1:26" ht="14.4" x14ac:dyDescent="0.3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spans="1:26" ht="14.4" x14ac:dyDescent="0.3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spans="1:26" ht="14.4" x14ac:dyDescent="0.3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spans="1:26" ht="14.4" x14ac:dyDescent="0.3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spans="1:26" ht="14.4" x14ac:dyDescent="0.3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spans="1:26" ht="14.4" x14ac:dyDescent="0.3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spans="1:26" ht="14.4" x14ac:dyDescent="0.3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spans="1:26" ht="14.4" x14ac:dyDescent="0.3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spans="1:26" ht="14.4" x14ac:dyDescent="0.3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spans="1:26" ht="14.4" x14ac:dyDescent="0.3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spans="1:26" ht="14.4" x14ac:dyDescent="0.3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spans="1:26" ht="14.4" x14ac:dyDescent="0.3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spans="1:26" ht="14.4" x14ac:dyDescent="0.3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spans="1:26" ht="14.4" x14ac:dyDescent="0.3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spans="1:26" ht="14.4" x14ac:dyDescent="0.3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spans="1:26" ht="14.4" x14ac:dyDescent="0.3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spans="1:26" ht="14.4" x14ac:dyDescent="0.3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spans="1:26" ht="14.4" x14ac:dyDescent="0.3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spans="1:26" ht="14.4" x14ac:dyDescent="0.3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spans="1:26" ht="14.4" x14ac:dyDescent="0.3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spans="1:26" ht="14.4" x14ac:dyDescent="0.3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spans="1:26" ht="14.4" x14ac:dyDescent="0.3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spans="1:26" ht="14.4" x14ac:dyDescent="0.3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spans="1:26" ht="14.4" x14ac:dyDescent="0.3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spans="1:26" ht="14.4" x14ac:dyDescent="0.3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spans="1:26" ht="14.4" x14ac:dyDescent="0.3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spans="1:26" ht="14.4" x14ac:dyDescent="0.3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spans="1:26" ht="14.4" x14ac:dyDescent="0.3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spans="1:26" ht="14.4" x14ac:dyDescent="0.3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spans="1:26" ht="14.4" x14ac:dyDescent="0.3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spans="1:26" ht="14.4" x14ac:dyDescent="0.3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spans="1:26" ht="14.4" x14ac:dyDescent="0.3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spans="1:26" ht="14.4" x14ac:dyDescent="0.3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spans="1:26" ht="14.4" x14ac:dyDescent="0.3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spans="1:26" ht="14.4" x14ac:dyDescent="0.3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spans="1:26" ht="14.4" x14ac:dyDescent="0.3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spans="1:26" ht="14.4" x14ac:dyDescent="0.3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spans="1:26" ht="14.4" x14ac:dyDescent="0.3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spans="1:26" ht="14.4" x14ac:dyDescent="0.3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spans="1:26" ht="14.4" x14ac:dyDescent="0.3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spans="1:26" ht="14.4" x14ac:dyDescent="0.3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</row>
    <row r="222" spans="1:26" ht="14.4" x14ac:dyDescent="0.3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</row>
    <row r="223" spans="1:26" ht="14.4" x14ac:dyDescent="0.3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</row>
    <row r="224" spans="1:26" ht="14.4" x14ac:dyDescent="0.3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</row>
    <row r="225" spans="1:26" ht="14.4" x14ac:dyDescent="0.3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</row>
    <row r="226" spans="1:26" ht="14.4" x14ac:dyDescent="0.3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</row>
    <row r="227" spans="1:26" ht="14.4" x14ac:dyDescent="0.3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</row>
    <row r="228" spans="1:26" ht="14.4" x14ac:dyDescent="0.3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</row>
    <row r="229" spans="1:26" ht="14.4" x14ac:dyDescent="0.3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</row>
    <row r="230" spans="1:26" ht="14.4" x14ac:dyDescent="0.3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</row>
    <row r="231" spans="1:26" ht="14.4" x14ac:dyDescent="0.3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</row>
    <row r="232" spans="1:26" ht="14.4" x14ac:dyDescent="0.3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</row>
    <row r="233" spans="1:26" ht="14.4" x14ac:dyDescent="0.3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</row>
    <row r="234" spans="1:26" ht="14.4" x14ac:dyDescent="0.3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</row>
    <row r="235" spans="1:26" ht="14.4" x14ac:dyDescent="0.3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</row>
    <row r="236" spans="1:26" ht="14.4" x14ac:dyDescent="0.3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</row>
    <row r="237" spans="1:26" ht="14.4" x14ac:dyDescent="0.3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</row>
    <row r="238" spans="1:26" ht="14.4" x14ac:dyDescent="0.3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</row>
    <row r="239" spans="1:26" ht="14.4" x14ac:dyDescent="0.3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</row>
    <row r="240" spans="1:26" ht="14.4" x14ac:dyDescent="0.3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</row>
    <row r="241" spans="1:26" ht="14.4" x14ac:dyDescent="0.3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</row>
    <row r="242" spans="1:26" ht="14.4" x14ac:dyDescent="0.3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</row>
    <row r="243" spans="1:26" ht="14.4" x14ac:dyDescent="0.3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</row>
    <row r="244" spans="1:26" ht="14.4" x14ac:dyDescent="0.3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</row>
    <row r="245" spans="1:26" ht="14.4" x14ac:dyDescent="0.3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</row>
    <row r="246" spans="1:26" ht="14.4" x14ac:dyDescent="0.3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</row>
    <row r="247" spans="1:26" ht="14.4" x14ac:dyDescent="0.3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</row>
    <row r="248" spans="1:26" ht="14.4" x14ac:dyDescent="0.3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</row>
    <row r="249" spans="1:26" ht="14.4" x14ac:dyDescent="0.3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</row>
    <row r="250" spans="1:26" ht="14.4" x14ac:dyDescent="0.3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</row>
    <row r="251" spans="1:26" ht="14.4" x14ac:dyDescent="0.3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</row>
    <row r="252" spans="1:26" ht="14.4" x14ac:dyDescent="0.3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</row>
    <row r="253" spans="1:26" ht="14.4" x14ac:dyDescent="0.3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</row>
    <row r="254" spans="1:26" ht="14.4" x14ac:dyDescent="0.3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</row>
    <row r="255" spans="1:26" ht="14.4" x14ac:dyDescent="0.3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</row>
    <row r="256" spans="1:26" ht="14.4" x14ac:dyDescent="0.3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</row>
    <row r="257" spans="1:26" ht="14.4" x14ac:dyDescent="0.3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</row>
    <row r="258" spans="1:26" ht="14.4" x14ac:dyDescent="0.3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</row>
    <row r="259" spans="1:26" ht="14.4" x14ac:dyDescent="0.3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4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  <c r="Z259" s="74"/>
    </row>
    <row r="260" spans="1:26" ht="14.4" x14ac:dyDescent="0.3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</row>
    <row r="261" spans="1:26" ht="14.4" x14ac:dyDescent="0.3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  <c r="Z261" s="74"/>
    </row>
    <row r="262" spans="1:26" ht="14.4" x14ac:dyDescent="0.3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</row>
    <row r="263" spans="1:26" ht="14.4" x14ac:dyDescent="0.3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</row>
    <row r="264" spans="1:26" ht="14.4" x14ac:dyDescent="0.3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</row>
    <row r="265" spans="1:26" ht="14.4" x14ac:dyDescent="0.3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</row>
    <row r="266" spans="1:26" ht="14.4" x14ac:dyDescent="0.3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</row>
    <row r="267" spans="1:26" ht="14.4" x14ac:dyDescent="0.3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</row>
    <row r="268" spans="1:26" ht="14.4" x14ac:dyDescent="0.3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4"/>
      <c r="L268" s="74"/>
      <c r="M268" s="74"/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</row>
    <row r="269" spans="1:26" ht="14.4" x14ac:dyDescent="0.3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4"/>
      <c r="L269" s="74"/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  <c r="Z269" s="74"/>
    </row>
    <row r="270" spans="1:26" ht="14.4" x14ac:dyDescent="0.3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  <c r="Z270" s="74"/>
    </row>
    <row r="271" spans="1:26" ht="14.4" x14ac:dyDescent="0.3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  <c r="Z271" s="74"/>
    </row>
    <row r="272" spans="1:26" ht="14.4" x14ac:dyDescent="0.3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</row>
    <row r="273" spans="1:26" ht="14.4" x14ac:dyDescent="0.3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</row>
    <row r="274" spans="1:26" ht="14.4" x14ac:dyDescent="0.3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4"/>
      <c r="L274" s="74"/>
      <c r="M274" s="74"/>
      <c r="N274" s="74"/>
      <c r="O274" s="74"/>
      <c r="P274" s="74"/>
      <c r="Q274" s="74"/>
      <c r="R274" s="74"/>
      <c r="S274" s="74"/>
      <c r="T274" s="74"/>
      <c r="U274" s="74"/>
      <c r="V274" s="74"/>
      <c r="W274" s="74"/>
      <c r="X274" s="74"/>
      <c r="Y274" s="74"/>
      <c r="Z274" s="74"/>
    </row>
    <row r="275" spans="1:26" ht="14.4" x14ac:dyDescent="0.3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</row>
    <row r="276" spans="1:26" ht="14.4" x14ac:dyDescent="0.3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</row>
    <row r="277" spans="1:26" ht="14.4" x14ac:dyDescent="0.3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4"/>
      <c r="L277" s="74"/>
      <c r="M277" s="74"/>
      <c r="N277" s="74"/>
      <c r="O277" s="74"/>
      <c r="P277" s="74"/>
      <c r="Q277" s="74"/>
      <c r="R277" s="74"/>
      <c r="S277" s="74"/>
      <c r="T277" s="74"/>
      <c r="U277" s="74"/>
      <c r="V277" s="74"/>
      <c r="W277" s="74"/>
      <c r="X277" s="74"/>
      <c r="Y277" s="74"/>
      <c r="Z277" s="74"/>
    </row>
    <row r="278" spans="1:26" ht="14.4" x14ac:dyDescent="0.3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</row>
    <row r="279" spans="1:26" ht="14.4" x14ac:dyDescent="0.3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4"/>
      <c r="L279" s="74"/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</row>
    <row r="280" spans="1:26" ht="14.4" x14ac:dyDescent="0.3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  <c r="Z280" s="74"/>
    </row>
    <row r="281" spans="1:26" ht="14.4" x14ac:dyDescent="0.3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</row>
    <row r="282" spans="1:26" ht="14.4" x14ac:dyDescent="0.3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</row>
    <row r="283" spans="1:26" ht="14.4" x14ac:dyDescent="0.3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</row>
    <row r="284" spans="1:26" ht="14.4" x14ac:dyDescent="0.3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</row>
    <row r="285" spans="1:26" ht="14.4" x14ac:dyDescent="0.3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</row>
    <row r="286" spans="1:26" ht="14.4" x14ac:dyDescent="0.3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4"/>
      <c r="L286" s="74"/>
      <c r="M286" s="74"/>
      <c r="N286" s="74"/>
      <c r="O286" s="74"/>
      <c r="P286" s="74"/>
      <c r="Q286" s="74"/>
      <c r="R286" s="74"/>
      <c r="S286" s="74"/>
      <c r="T286" s="74"/>
      <c r="U286" s="74"/>
      <c r="V286" s="74"/>
      <c r="W286" s="74"/>
      <c r="X286" s="74"/>
      <c r="Y286" s="74"/>
      <c r="Z286" s="74"/>
    </row>
    <row r="287" spans="1:26" ht="14.4" x14ac:dyDescent="0.3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</row>
    <row r="288" spans="1:26" ht="14.4" x14ac:dyDescent="0.3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  <c r="Z288" s="74"/>
    </row>
    <row r="289" spans="1:26" ht="14.4" x14ac:dyDescent="0.3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</row>
    <row r="290" spans="1:26" ht="14.4" x14ac:dyDescent="0.3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</row>
    <row r="291" spans="1:26" ht="14.4" x14ac:dyDescent="0.3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</row>
    <row r="292" spans="1:26" ht="14.4" x14ac:dyDescent="0.3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4"/>
      <c r="L292" s="74"/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</row>
    <row r="293" spans="1:26" ht="14.4" x14ac:dyDescent="0.3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</row>
    <row r="294" spans="1:26" ht="14.4" x14ac:dyDescent="0.3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  <c r="Z294" s="74"/>
    </row>
    <row r="295" spans="1:26" ht="14.4" x14ac:dyDescent="0.3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  <c r="Z295" s="74"/>
    </row>
    <row r="296" spans="1:26" ht="14.4" x14ac:dyDescent="0.3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</row>
    <row r="297" spans="1:26" ht="14.4" x14ac:dyDescent="0.3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</row>
    <row r="298" spans="1:26" ht="14.4" x14ac:dyDescent="0.3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4"/>
      <c r="L298" s="74"/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</row>
    <row r="299" spans="1:26" ht="14.4" x14ac:dyDescent="0.3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</row>
    <row r="300" spans="1:26" ht="14.4" x14ac:dyDescent="0.3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</row>
    <row r="301" spans="1:26" ht="14.4" x14ac:dyDescent="0.3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</row>
    <row r="302" spans="1:26" ht="14.4" x14ac:dyDescent="0.3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</row>
    <row r="303" spans="1:26" ht="14.4" x14ac:dyDescent="0.3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</row>
    <row r="304" spans="1:26" ht="14.4" x14ac:dyDescent="0.3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4"/>
      <c r="L304" s="74"/>
      <c r="M304" s="74"/>
      <c r="N304" s="74"/>
      <c r="O304" s="74"/>
      <c r="P304" s="74"/>
      <c r="Q304" s="74"/>
      <c r="R304" s="74"/>
      <c r="S304" s="74"/>
      <c r="T304" s="74"/>
      <c r="U304" s="74"/>
      <c r="V304" s="74"/>
      <c r="W304" s="74"/>
      <c r="X304" s="74"/>
      <c r="Y304" s="74"/>
      <c r="Z304" s="74"/>
    </row>
    <row r="305" spans="1:26" ht="14.4" x14ac:dyDescent="0.3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</row>
    <row r="306" spans="1:26" ht="14.4" x14ac:dyDescent="0.3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</row>
    <row r="307" spans="1:26" ht="14.4" x14ac:dyDescent="0.3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74"/>
    </row>
    <row r="308" spans="1:26" ht="14.4" x14ac:dyDescent="0.3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</row>
    <row r="309" spans="1:26" ht="14.4" x14ac:dyDescent="0.3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</row>
    <row r="310" spans="1:26" ht="14.4" x14ac:dyDescent="0.3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</row>
    <row r="311" spans="1:26" ht="14.4" x14ac:dyDescent="0.3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</row>
    <row r="312" spans="1:26" ht="14.4" x14ac:dyDescent="0.3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</row>
    <row r="313" spans="1:26" ht="14.4" x14ac:dyDescent="0.3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</row>
    <row r="314" spans="1:26" ht="14.4" x14ac:dyDescent="0.3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</row>
    <row r="315" spans="1:26" ht="14.4" x14ac:dyDescent="0.3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</row>
    <row r="316" spans="1:26" ht="14.4" x14ac:dyDescent="0.3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</row>
    <row r="317" spans="1:26" ht="14.4" x14ac:dyDescent="0.3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</row>
    <row r="318" spans="1:26" ht="14.4" x14ac:dyDescent="0.3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</row>
    <row r="319" spans="1:26" ht="14.4" x14ac:dyDescent="0.3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4"/>
      <c r="L319" s="74"/>
      <c r="M319" s="74"/>
      <c r="N319" s="74"/>
      <c r="O319" s="74"/>
      <c r="P319" s="74"/>
      <c r="Q319" s="74"/>
      <c r="R319" s="74"/>
      <c r="S319" s="74"/>
      <c r="T319" s="74"/>
      <c r="U319" s="74"/>
      <c r="V319" s="74"/>
      <c r="W319" s="74"/>
      <c r="X319" s="74"/>
      <c r="Y319" s="74"/>
      <c r="Z319" s="74"/>
    </row>
    <row r="320" spans="1:26" ht="14.4" x14ac:dyDescent="0.3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</row>
    <row r="321" spans="1:26" ht="14.4" x14ac:dyDescent="0.3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</row>
    <row r="322" spans="1:26" ht="14.4" x14ac:dyDescent="0.3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</row>
    <row r="323" spans="1:26" ht="14.4" x14ac:dyDescent="0.3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</row>
    <row r="324" spans="1:26" ht="14.4" x14ac:dyDescent="0.3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</row>
    <row r="325" spans="1:26" ht="14.4" x14ac:dyDescent="0.3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</row>
    <row r="326" spans="1:26" ht="14.4" x14ac:dyDescent="0.3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</row>
    <row r="327" spans="1:26" ht="14.4" x14ac:dyDescent="0.3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</row>
    <row r="328" spans="1:26" ht="14.4" x14ac:dyDescent="0.3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</row>
    <row r="329" spans="1:26" ht="14.4" x14ac:dyDescent="0.3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</row>
    <row r="330" spans="1:26" ht="14.4" x14ac:dyDescent="0.3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</row>
    <row r="331" spans="1:26" ht="14.4" x14ac:dyDescent="0.3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</row>
    <row r="332" spans="1:26" ht="14.4" x14ac:dyDescent="0.3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</row>
    <row r="333" spans="1:26" ht="14.4" x14ac:dyDescent="0.3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</row>
    <row r="334" spans="1:26" ht="14.4" x14ac:dyDescent="0.3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</row>
    <row r="335" spans="1:26" ht="14.4" x14ac:dyDescent="0.3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</row>
    <row r="336" spans="1:26" ht="14.4" x14ac:dyDescent="0.3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4"/>
      <c r="L336" s="74"/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  <c r="Z336" s="74"/>
    </row>
    <row r="337" spans="1:26" ht="14.4" x14ac:dyDescent="0.3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4"/>
      <c r="L337" s="74"/>
      <c r="M337" s="74"/>
      <c r="N337" s="74"/>
      <c r="O337" s="74"/>
      <c r="P337" s="74"/>
      <c r="Q337" s="74"/>
      <c r="R337" s="74"/>
      <c r="S337" s="74"/>
      <c r="T337" s="74"/>
      <c r="U337" s="74"/>
      <c r="V337" s="74"/>
      <c r="W337" s="74"/>
      <c r="X337" s="74"/>
      <c r="Y337" s="74"/>
      <c r="Z337" s="74"/>
    </row>
    <row r="338" spans="1:26" ht="14.4" x14ac:dyDescent="0.3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  <c r="Z338" s="74"/>
    </row>
    <row r="339" spans="1:26" ht="14.4" x14ac:dyDescent="0.3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4"/>
      <c r="L339" s="74"/>
      <c r="M339" s="74"/>
      <c r="N339" s="74"/>
      <c r="O339" s="74"/>
      <c r="P339" s="74"/>
      <c r="Q339" s="74"/>
      <c r="R339" s="74"/>
      <c r="S339" s="74"/>
      <c r="T339" s="74"/>
      <c r="U339" s="74"/>
      <c r="V339" s="74"/>
      <c r="W339" s="74"/>
      <c r="X339" s="74"/>
      <c r="Y339" s="74"/>
      <c r="Z339" s="74"/>
    </row>
    <row r="340" spans="1:26" ht="14.4" x14ac:dyDescent="0.3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4"/>
      <c r="L340" s="74"/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</row>
    <row r="341" spans="1:26" ht="14.4" x14ac:dyDescent="0.3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  <c r="Z341" s="74"/>
    </row>
    <row r="342" spans="1:26" ht="14.4" x14ac:dyDescent="0.3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</row>
    <row r="343" spans="1:26" ht="14.4" x14ac:dyDescent="0.3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  <c r="Z343" s="74"/>
    </row>
    <row r="344" spans="1:26" ht="14.4" x14ac:dyDescent="0.3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4"/>
      <c r="L344" s="74"/>
      <c r="M344" s="74"/>
      <c r="N344" s="74"/>
      <c r="O344" s="74"/>
      <c r="P344" s="74"/>
      <c r="Q344" s="74"/>
      <c r="R344" s="74"/>
      <c r="S344" s="74"/>
      <c r="T344" s="74"/>
      <c r="U344" s="74"/>
      <c r="V344" s="74"/>
      <c r="W344" s="74"/>
      <c r="X344" s="74"/>
      <c r="Y344" s="74"/>
      <c r="Z344" s="74"/>
    </row>
    <row r="345" spans="1:26" ht="14.4" x14ac:dyDescent="0.3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  <c r="Z345" s="74"/>
    </row>
    <row r="346" spans="1:26" ht="14.4" x14ac:dyDescent="0.3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  <c r="Z346" s="74"/>
    </row>
    <row r="347" spans="1:26" ht="14.4" x14ac:dyDescent="0.3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74"/>
    </row>
    <row r="348" spans="1:26" ht="14.4" x14ac:dyDescent="0.3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4"/>
      <c r="L348" s="74"/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  <c r="Z348" s="74"/>
    </row>
    <row r="349" spans="1:26" ht="14.4" x14ac:dyDescent="0.3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</row>
    <row r="350" spans="1:26" ht="14.4" x14ac:dyDescent="0.3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4"/>
      <c r="L350" s="74"/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</row>
    <row r="351" spans="1:26" ht="14.4" x14ac:dyDescent="0.3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4"/>
      <c r="L351" s="74"/>
      <c r="M351" s="74"/>
      <c r="N351" s="74"/>
      <c r="O351" s="74"/>
      <c r="P351" s="74"/>
      <c r="Q351" s="74"/>
      <c r="R351" s="74"/>
      <c r="S351" s="74"/>
      <c r="T351" s="74"/>
      <c r="U351" s="74"/>
      <c r="V351" s="74"/>
      <c r="W351" s="74"/>
      <c r="X351" s="74"/>
      <c r="Y351" s="74"/>
      <c r="Z351" s="74"/>
    </row>
    <row r="352" spans="1:26" ht="14.4" x14ac:dyDescent="0.3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4"/>
      <c r="L352" s="74"/>
      <c r="M352" s="74"/>
      <c r="N352" s="74"/>
      <c r="O352" s="74"/>
      <c r="P352" s="74"/>
      <c r="Q352" s="74"/>
      <c r="R352" s="74"/>
      <c r="S352" s="74"/>
      <c r="T352" s="74"/>
      <c r="U352" s="74"/>
      <c r="V352" s="74"/>
      <c r="W352" s="74"/>
      <c r="X352" s="74"/>
      <c r="Y352" s="74"/>
      <c r="Z352" s="74"/>
    </row>
    <row r="353" spans="1:26" ht="14.4" x14ac:dyDescent="0.3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  <c r="Z353" s="74"/>
    </row>
    <row r="354" spans="1:26" ht="14.4" x14ac:dyDescent="0.3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4"/>
      <c r="L354" s="74"/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</row>
    <row r="355" spans="1:26" ht="14.4" x14ac:dyDescent="0.3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4"/>
      <c r="L355" s="74"/>
      <c r="M355" s="74"/>
      <c r="N355" s="74"/>
      <c r="O355" s="74"/>
      <c r="P355" s="74"/>
      <c r="Q355" s="74"/>
      <c r="R355" s="74"/>
      <c r="S355" s="74"/>
      <c r="T355" s="74"/>
      <c r="U355" s="74"/>
      <c r="V355" s="74"/>
      <c r="W355" s="74"/>
      <c r="X355" s="74"/>
      <c r="Y355" s="74"/>
      <c r="Z355" s="74"/>
    </row>
    <row r="356" spans="1:26" ht="14.4" x14ac:dyDescent="0.3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4"/>
      <c r="L356" s="74"/>
      <c r="M356" s="74"/>
      <c r="N356" s="74"/>
      <c r="O356" s="74"/>
      <c r="P356" s="74"/>
      <c r="Q356" s="74"/>
      <c r="R356" s="74"/>
      <c r="S356" s="74"/>
      <c r="T356" s="74"/>
      <c r="U356" s="74"/>
      <c r="V356" s="74"/>
      <c r="W356" s="74"/>
      <c r="X356" s="74"/>
      <c r="Y356" s="74"/>
      <c r="Z356" s="74"/>
    </row>
    <row r="357" spans="1:26" ht="14.4" x14ac:dyDescent="0.3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4"/>
      <c r="L357" s="74"/>
      <c r="M357" s="74"/>
      <c r="N357" s="74"/>
      <c r="O357" s="74"/>
      <c r="P357" s="74"/>
      <c r="Q357" s="74"/>
      <c r="R357" s="74"/>
      <c r="S357" s="74"/>
      <c r="T357" s="74"/>
      <c r="U357" s="74"/>
      <c r="V357" s="74"/>
      <c r="W357" s="74"/>
      <c r="X357" s="74"/>
      <c r="Y357" s="74"/>
      <c r="Z357" s="74"/>
    </row>
    <row r="358" spans="1:26" ht="14.4" x14ac:dyDescent="0.3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4"/>
      <c r="L358" s="74"/>
      <c r="M358" s="74"/>
      <c r="N358" s="74"/>
      <c r="O358" s="74"/>
      <c r="P358" s="74"/>
      <c r="Q358" s="74"/>
      <c r="R358" s="74"/>
      <c r="S358" s="74"/>
      <c r="T358" s="74"/>
      <c r="U358" s="74"/>
      <c r="V358" s="74"/>
      <c r="W358" s="74"/>
      <c r="X358" s="74"/>
      <c r="Y358" s="74"/>
      <c r="Z358" s="74"/>
    </row>
    <row r="359" spans="1:26" ht="14.4" x14ac:dyDescent="0.3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4"/>
      <c r="L359" s="74"/>
      <c r="M359" s="74"/>
      <c r="N359" s="74"/>
      <c r="O359" s="74"/>
      <c r="P359" s="74"/>
      <c r="Q359" s="74"/>
      <c r="R359" s="74"/>
      <c r="S359" s="74"/>
      <c r="T359" s="74"/>
      <c r="U359" s="74"/>
      <c r="V359" s="74"/>
      <c r="W359" s="74"/>
      <c r="X359" s="74"/>
      <c r="Y359" s="74"/>
      <c r="Z359" s="74"/>
    </row>
    <row r="360" spans="1:26" ht="14.4" x14ac:dyDescent="0.3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4"/>
      <c r="L360" s="74"/>
      <c r="M360" s="74"/>
      <c r="N360" s="74"/>
      <c r="O360" s="74"/>
      <c r="P360" s="74"/>
      <c r="Q360" s="74"/>
      <c r="R360" s="74"/>
      <c r="S360" s="74"/>
      <c r="T360" s="74"/>
      <c r="U360" s="74"/>
      <c r="V360" s="74"/>
      <c r="W360" s="74"/>
      <c r="X360" s="74"/>
      <c r="Y360" s="74"/>
      <c r="Z360" s="74"/>
    </row>
    <row r="361" spans="1:26" ht="14.4" x14ac:dyDescent="0.3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4"/>
      <c r="L361" s="74"/>
      <c r="M361" s="74"/>
      <c r="N361" s="74"/>
      <c r="O361" s="74"/>
      <c r="P361" s="74"/>
      <c r="Q361" s="74"/>
      <c r="R361" s="74"/>
      <c r="S361" s="74"/>
      <c r="T361" s="74"/>
      <c r="U361" s="74"/>
      <c r="V361" s="74"/>
      <c r="W361" s="74"/>
      <c r="X361" s="74"/>
      <c r="Y361" s="74"/>
      <c r="Z361" s="74"/>
    </row>
    <row r="362" spans="1:26" ht="14.4" x14ac:dyDescent="0.3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4"/>
      <c r="L362" s="74"/>
      <c r="M362" s="74"/>
      <c r="N362" s="74"/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</row>
    <row r="363" spans="1:26" ht="14.4" x14ac:dyDescent="0.3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4"/>
      <c r="L363" s="74"/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</row>
    <row r="364" spans="1:26" ht="14.4" x14ac:dyDescent="0.3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4"/>
      <c r="L364" s="74"/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</row>
    <row r="365" spans="1:26" ht="14.4" x14ac:dyDescent="0.3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4"/>
      <c r="L365" s="74"/>
      <c r="M365" s="74"/>
      <c r="N365" s="74"/>
      <c r="O365" s="74"/>
      <c r="P365" s="74"/>
      <c r="Q365" s="74"/>
      <c r="R365" s="74"/>
      <c r="S365" s="74"/>
      <c r="T365" s="74"/>
      <c r="U365" s="74"/>
      <c r="V365" s="74"/>
      <c r="W365" s="74"/>
      <c r="X365" s="74"/>
      <c r="Y365" s="74"/>
      <c r="Z365" s="74"/>
    </row>
    <row r="366" spans="1:26" ht="14.4" x14ac:dyDescent="0.3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4"/>
      <c r="L366" s="74"/>
      <c r="M366" s="74"/>
      <c r="N366" s="74"/>
      <c r="O366" s="74"/>
      <c r="P366" s="74"/>
      <c r="Q366" s="74"/>
      <c r="R366" s="74"/>
      <c r="S366" s="74"/>
      <c r="T366" s="74"/>
      <c r="U366" s="74"/>
      <c r="V366" s="74"/>
      <c r="W366" s="74"/>
      <c r="X366" s="74"/>
      <c r="Y366" s="74"/>
      <c r="Z366" s="74"/>
    </row>
    <row r="367" spans="1:26" ht="14.4" x14ac:dyDescent="0.3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4"/>
      <c r="L367" s="74"/>
      <c r="M367" s="74"/>
      <c r="N367" s="74"/>
      <c r="O367" s="74"/>
      <c r="P367" s="74"/>
      <c r="Q367" s="74"/>
      <c r="R367" s="74"/>
      <c r="S367" s="74"/>
      <c r="T367" s="74"/>
      <c r="U367" s="74"/>
      <c r="V367" s="74"/>
      <c r="W367" s="74"/>
      <c r="X367" s="74"/>
      <c r="Y367" s="74"/>
      <c r="Z367" s="74"/>
    </row>
    <row r="368" spans="1:26" ht="14.4" x14ac:dyDescent="0.3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4"/>
      <c r="L368" s="74"/>
      <c r="M368" s="74"/>
      <c r="N368" s="74"/>
      <c r="O368" s="74"/>
      <c r="P368" s="74"/>
      <c r="Q368" s="74"/>
      <c r="R368" s="74"/>
      <c r="S368" s="74"/>
      <c r="T368" s="74"/>
      <c r="U368" s="74"/>
      <c r="V368" s="74"/>
      <c r="W368" s="74"/>
      <c r="X368" s="74"/>
      <c r="Y368" s="74"/>
      <c r="Z368" s="74"/>
    </row>
    <row r="369" spans="1:26" ht="14.4" x14ac:dyDescent="0.3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4"/>
      <c r="L369" s="74"/>
      <c r="M369" s="74"/>
      <c r="N369" s="74"/>
      <c r="O369" s="74"/>
      <c r="P369" s="74"/>
      <c r="Q369" s="74"/>
      <c r="R369" s="74"/>
      <c r="S369" s="74"/>
      <c r="T369" s="74"/>
      <c r="U369" s="74"/>
      <c r="V369" s="74"/>
      <c r="W369" s="74"/>
      <c r="X369" s="74"/>
      <c r="Y369" s="74"/>
      <c r="Z369" s="74"/>
    </row>
    <row r="370" spans="1:26" ht="14.4" x14ac:dyDescent="0.3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</row>
    <row r="371" spans="1:26" ht="14.4" x14ac:dyDescent="0.3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</row>
    <row r="372" spans="1:26" ht="14.4" x14ac:dyDescent="0.3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4"/>
      <c r="L372" s="74"/>
      <c r="M372" s="74"/>
      <c r="N372" s="74"/>
      <c r="O372" s="74"/>
      <c r="P372" s="74"/>
      <c r="Q372" s="74"/>
      <c r="R372" s="74"/>
      <c r="S372" s="74"/>
      <c r="T372" s="74"/>
      <c r="U372" s="74"/>
      <c r="V372" s="74"/>
      <c r="W372" s="74"/>
      <c r="X372" s="74"/>
      <c r="Y372" s="74"/>
      <c r="Z372" s="74"/>
    </row>
    <row r="373" spans="1:26" ht="14.4" x14ac:dyDescent="0.3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4"/>
      <c r="L373" s="74"/>
      <c r="M373" s="74"/>
      <c r="N373" s="74"/>
      <c r="O373" s="74"/>
      <c r="P373" s="74"/>
      <c r="Q373" s="74"/>
      <c r="R373" s="74"/>
      <c r="S373" s="74"/>
      <c r="T373" s="74"/>
      <c r="U373" s="74"/>
      <c r="V373" s="74"/>
      <c r="W373" s="74"/>
      <c r="X373" s="74"/>
      <c r="Y373" s="74"/>
      <c r="Z373" s="74"/>
    </row>
    <row r="374" spans="1:26" ht="14.4" x14ac:dyDescent="0.3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4"/>
      <c r="L374" s="74"/>
      <c r="M374" s="74"/>
      <c r="N374" s="74"/>
      <c r="O374" s="74"/>
      <c r="P374" s="74"/>
      <c r="Q374" s="74"/>
      <c r="R374" s="74"/>
      <c r="S374" s="74"/>
      <c r="T374" s="74"/>
      <c r="U374" s="74"/>
      <c r="V374" s="74"/>
      <c r="W374" s="74"/>
      <c r="X374" s="74"/>
      <c r="Y374" s="74"/>
      <c r="Z374" s="74"/>
    </row>
    <row r="375" spans="1:26" ht="14.4" x14ac:dyDescent="0.3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4"/>
      <c r="L375" s="74"/>
      <c r="M375" s="74"/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</row>
    <row r="376" spans="1:26" ht="14.4" x14ac:dyDescent="0.3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4"/>
      <c r="L376" s="74"/>
      <c r="M376" s="74"/>
      <c r="N376" s="74"/>
      <c r="O376" s="74"/>
      <c r="P376" s="74"/>
      <c r="Q376" s="74"/>
      <c r="R376" s="74"/>
      <c r="S376" s="74"/>
      <c r="T376" s="74"/>
      <c r="U376" s="74"/>
      <c r="V376" s="74"/>
      <c r="W376" s="74"/>
      <c r="X376" s="74"/>
      <c r="Y376" s="74"/>
      <c r="Z376" s="74"/>
    </row>
    <row r="377" spans="1:26" ht="14.4" x14ac:dyDescent="0.3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4"/>
      <c r="L377" s="74"/>
      <c r="M377" s="74"/>
      <c r="N377" s="74"/>
      <c r="O377" s="74"/>
      <c r="P377" s="74"/>
      <c r="Q377" s="74"/>
      <c r="R377" s="74"/>
      <c r="S377" s="74"/>
      <c r="T377" s="74"/>
      <c r="U377" s="74"/>
      <c r="V377" s="74"/>
      <c r="W377" s="74"/>
      <c r="X377" s="74"/>
      <c r="Y377" s="74"/>
      <c r="Z377" s="74"/>
    </row>
    <row r="378" spans="1:26" ht="14.4" x14ac:dyDescent="0.3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4"/>
      <c r="L378" s="74"/>
      <c r="M378" s="74"/>
      <c r="N378" s="74"/>
      <c r="O378" s="74"/>
      <c r="P378" s="74"/>
      <c r="Q378" s="74"/>
      <c r="R378" s="74"/>
      <c r="S378" s="74"/>
      <c r="T378" s="74"/>
      <c r="U378" s="74"/>
      <c r="V378" s="74"/>
      <c r="W378" s="74"/>
      <c r="X378" s="74"/>
      <c r="Y378" s="74"/>
      <c r="Z378" s="74"/>
    </row>
    <row r="379" spans="1:26" ht="14.4" x14ac:dyDescent="0.3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4"/>
      <c r="L379" s="74"/>
      <c r="M379" s="74"/>
      <c r="N379" s="74"/>
      <c r="O379" s="74"/>
      <c r="P379" s="74"/>
      <c r="Q379" s="74"/>
      <c r="R379" s="74"/>
      <c r="S379" s="74"/>
      <c r="T379" s="74"/>
      <c r="U379" s="74"/>
      <c r="V379" s="74"/>
      <c r="W379" s="74"/>
      <c r="X379" s="74"/>
      <c r="Y379" s="74"/>
      <c r="Z379" s="74"/>
    </row>
    <row r="380" spans="1:26" ht="14.4" x14ac:dyDescent="0.3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4"/>
      <c r="L380" s="74"/>
      <c r="M380" s="74"/>
      <c r="N380" s="74"/>
      <c r="O380" s="74"/>
      <c r="P380" s="74"/>
      <c r="Q380" s="74"/>
      <c r="R380" s="74"/>
      <c r="S380" s="74"/>
      <c r="T380" s="74"/>
      <c r="U380" s="74"/>
      <c r="V380" s="74"/>
      <c r="W380" s="74"/>
      <c r="X380" s="74"/>
      <c r="Y380" s="74"/>
      <c r="Z380" s="74"/>
    </row>
    <row r="381" spans="1:26" ht="14.4" x14ac:dyDescent="0.3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4"/>
      <c r="L381" s="74"/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</row>
    <row r="382" spans="1:26" ht="14.4" x14ac:dyDescent="0.3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4"/>
      <c r="L382" s="74"/>
      <c r="M382" s="74"/>
      <c r="N382" s="74"/>
      <c r="O382" s="74"/>
      <c r="P382" s="74"/>
      <c r="Q382" s="74"/>
      <c r="R382" s="74"/>
      <c r="S382" s="74"/>
      <c r="T382" s="74"/>
      <c r="U382" s="74"/>
      <c r="V382" s="74"/>
      <c r="W382" s="74"/>
      <c r="X382" s="74"/>
      <c r="Y382" s="74"/>
      <c r="Z382" s="74"/>
    </row>
    <row r="383" spans="1:26" ht="14.4" x14ac:dyDescent="0.3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4"/>
      <c r="L383" s="74"/>
      <c r="M383" s="74"/>
      <c r="N383" s="74"/>
      <c r="O383" s="74"/>
      <c r="P383" s="74"/>
      <c r="Q383" s="74"/>
      <c r="R383" s="74"/>
      <c r="S383" s="74"/>
      <c r="T383" s="74"/>
      <c r="U383" s="74"/>
      <c r="V383" s="74"/>
      <c r="W383" s="74"/>
      <c r="X383" s="74"/>
      <c r="Y383" s="74"/>
      <c r="Z383" s="74"/>
    </row>
    <row r="384" spans="1:26" ht="14.4" x14ac:dyDescent="0.3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4"/>
      <c r="L384" s="74"/>
      <c r="M384" s="74"/>
      <c r="N384" s="74"/>
      <c r="O384" s="74"/>
      <c r="P384" s="74"/>
      <c r="Q384" s="74"/>
      <c r="R384" s="74"/>
      <c r="S384" s="74"/>
      <c r="T384" s="74"/>
      <c r="U384" s="74"/>
      <c r="V384" s="74"/>
      <c r="W384" s="74"/>
      <c r="X384" s="74"/>
      <c r="Y384" s="74"/>
      <c r="Z384" s="74"/>
    </row>
    <row r="385" spans="1:26" ht="14.4" x14ac:dyDescent="0.3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4"/>
      <c r="L385" s="74"/>
      <c r="M385" s="74"/>
      <c r="N385" s="74"/>
      <c r="O385" s="74"/>
      <c r="P385" s="74"/>
      <c r="Q385" s="74"/>
      <c r="R385" s="74"/>
      <c r="S385" s="74"/>
      <c r="T385" s="74"/>
      <c r="U385" s="74"/>
      <c r="V385" s="74"/>
      <c r="W385" s="74"/>
      <c r="X385" s="74"/>
      <c r="Y385" s="74"/>
      <c r="Z385" s="74"/>
    </row>
    <row r="386" spans="1:26" ht="14.4" x14ac:dyDescent="0.3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4"/>
      <c r="L386" s="74"/>
      <c r="M386" s="74"/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</row>
    <row r="387" spans="1:26" ht="14.4" x14ac:dyDescent="0.3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4"/>
      <c r="L387" s="74"/>
      <c r="M387" s="74"/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</row>
    <row r="388" spans="1:26" ht="14.4" x14ac:dyDescent="0.3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4"/>
      <c r="L388" s="74"/>
      <c r="M388" s="74"/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</row>
    <row r="389" spans="1:26" ht="14.4" x14ac:dyDescent="0.3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4"/>
      <c r="L389" s="74"/>
      <c r="M389" s="74"/>
      <c r="N389" s="74"/>
      <c r="O389" s="74"/>
      <c r="P389" s="74"/>
      <c r="Q389" s="74"/>
      <c r="R389" s="74"/>
      <c r="S389" s="74"/>
      <c r="T389" s="74"/>
      <c r="U389" s="74"/>
      <c r="V389" s="74"/>
      <c r="W389" s="74"/>
      <c r="X389" s="74"/>
      <c r="Y389" s="74"/>
      <c r="Z389" s="74"/>
    </row>
    <row r="390" spans="1:26" ht="14.4" x14ac:dyDescent="0.3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</row>
    <row r="391" spans="1:26" ht="14.4" x14ac:dyDescent="0.3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</row>
    <row r="392" spans="1:26" ht="14.4" x14ac:dyDescent="0.3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4"/>
      <c r="L392" s="74"/>
      <c r="M392" s="74"/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</row>
    <row r="393" spans="1:26" ht="14.4" x14ac:dyDescent="0.3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4"/>
      <c r="L393" s="74"/>
      <c r="M393" s="74"/>
      <c r="N393" s="74"/>
      <c r="O393" s="74"/>
      <c r="P393" s="74"/>
      <c r="Q393" s="74"/>
      <c r="R393" s="74"/>
      <c r="S393" s="74"/>
      <c r="T393" s="74"/>
      <c r="U393" s="74"/>
      <c r="V393" s="74"/>
      <c r="W393" s="74"/>
      <c r="X393" s="74"/>
      <c r="Y393" s="74"/>
      <c r="Z393" s="74"/>
    </row>
    <row r="394" spans="1:26" ht="14.4" x14ac:dyDescent="0.3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4"/>
      <c r="L394" s="74"/>
      <c r="M394" s="74"/>
      <c r="N394" s="74"/>
      <c r="O394" s="74"/>
      <c r="P394" s="74"/>
      <c r="Q394" s="74"/>
      <c r="R394" s="74"/>
      <c r="S394" s="74"/>
      <c r="T394" s="74"/>
      <c r="U394" s="74"/>
      <c r="V394" s="74"/>
      <c r="W394" s="74"/>
      <c r="X394" s="74"/>
      <c r="Y394" s="74"/>
      <c r="Z394" s="74"/>
    </row>
    <row r="395" spans="1:26" ht="14.4" x14ac:dyDescent="0.3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4"/>
      <c r="L395" s="74"/>
      <c r="M395" s="74"/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</row>
    <row r="396" spans="1:26" ht="14.4" x14ac:dyDescent="0.3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4"/>
      <c r="L396" s="74"/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  <c r="Z396" s="74"/>
    </row>
    <row r="397" spans="1:26" ht="14.4" x14ac:dyDescent="0.3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4"/>
      <c r="L397" s="74"/>
      <c r="M397" s="74"/>
      <c r="N397" s="74"/>
      <c r="O397" s="74"/>
      <c r="P397" s="74"/>
      <c r="Q397" s="74"/>
      <c r="R397" s="74"/>
      <c r="S397" s="74"/>
      <c r="T397" s="74"/>
      <c r="U397" s="74"/>
      <c r="V397" s="74"/>
      <c r="W397" s="74"/>
      <c r="X397" s="74"/>
      <c r="Y397" s="74"/>
      <c r="Z397" s="74"/>
    </row>
    <row r="398" spans="1:26" ht="14.4" x14ac:dyDescent="0.3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4"/>
      <c r="L398" s="74"/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</row>
    <row r="399" spans="1:26" ht="14.4" x14ac:dyDescent="0.3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4"/>
      <c r="L399" s="74"/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</row>
    <row r="400" spans="1:26" ht="14.4" x14ac:dyDescent="0.3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4"/>
      <c r="L400" s="74"/>
      <c r="M400" s="74"/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</row>
    <row r="401" spans="1:26" ht="14.4" x14ac:dyDescent="0.3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4"/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</row>
    <row r="402" spans="1:26" ht="14.4" x14ac:dyDescent="0.3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4"/>
      <c r="L402" s="74"/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  <c r="Z402" s="74"/>
    </row>
    <row r="403" spans="1:26" ht="14.4" x14ac:dyDescent="0.3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4"/>
      <c r="L403" s="74"/>
      <c r="M403" s="74"/>
      <c r="N403" s="74"/>
      <c r="O403" s="74"/>
      <c r="P403" s="74"/>
      <c r="Q403" s="74"/>
      <c r="R403" s="74"/>
      <c r="S403" s="74"/>
      <c r="T403" s="74"/>
      <c r="U403" s="74"/>
      <c r="V403" s="74"/>
      <c r="W403" s="74"/>
      <c r="X403" s="74"/>
      <c r="Y403" s="74"/>
      <c r="Z403" s="74"/>
    </row>
    <row r="404" spans="1:26" ht="14.4" x14ac:dyDescent="0.3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4"/>
      <c r="L404" s="74"/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  <c r="Z404" s="74"/>
    </row>
    <row r="405" spans="1:26" ht="14.4" x14ac:dyDescent="0.3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4"/>
      <c r="L405" s="74"/>
      <c r="M405" s="74"/>
      <c r="N405" s="74"/>
      <c r="O405" s="74"/>
      <c r="P405" s="74"/>
      <c r="Q405" s="74"/>
      <c r="R405" s="74"/>
      <c r="S405" s="74"/>
      <c r="T405" s="74"/>
      <c r="U405" s="74"/>
      <c r="V405" s="74"/>
      <c r="W405" s="74"/>
      <c r="X405" s="74"/>
      <c r="Y405" s="74"/>
      <c r="Z405" s="74"/>
    </row>
    <row r="406" spans="1:26" ht="14.4" x14ac:dyDescent="0.3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</row>
    <row r="407" spans="1:26" ht="14.4" x14ac:dyDescent="0.3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4"/>
      <c r="L407" s="74"/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</row>
    <row r="408" spans="1:26" ht="14.4" x14ac:dyDescent="0.3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4"/>
      <c r="L408" s="74"/>
      <c r="M408" s="74"/>
      <c r="N408" s="74"/>
      <c r="O408" s="74"/>
      <c r="P408" s="74"/>
      <c r="Q408" s="74"/>
      <c r="R408" s="74"/>
      <c r="S408" s="74"/>
      <c r="T408" s="74"/>
      <c r="U408" s="74"/>
      <c r="V408" s="74"/>
      <c r="W408" s="74"/>
      <c r="X408" s="74"/>
      <c r="Y408" s="74"/>
      <c r="Z408" s="74"/>
    </row>
    <row r="409" spans="1:26" ht="14.4" x14ac:dyDescent="0.3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4"/>
      <c r="L409" s="74"/>
      <c r="M409" s="74"/>
      <c r="N409" s="74"/>
      <c r="O409" s="74"/>
      <c r="P409" s="74"/>
      <c r="Q409" s="74"/>
      <c r="R409" s="74"/>
      <c r="S409" s="74"/>
      <c r="T409" s="74"/>
      <c r="U409" s="74"/>
      <c r="V409" s="74"/>
      <c r="W409" s="74"/>
      <c r="X409" s="74"/>
      <c r="Y409" s="74"/>
      <c r="Z409" s="74"/>
    </row>
    <row r="410" spans="1:26" ht="14.4" x14ac:dyDescent="0.3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4"/>
      <c r="L410" s="74"/>
      <c r="M410" s="74"/>
      <c r="N410" s="74"/>
      <c r="O410" s="74"/>
      <c r="P410" s="74"/>
      <c r="Q410" s="74"/>
      <c r="R410" s="74"/>
      <c r="S410" s="74"/>
      <c r="T410" s="74"/>
      <c r="U410" s="74"/>
      <c r="V410" s="74"/>
      <c r="W410" s="74"/>
      <c r="X410" s="74"/>
      <c r="Y410" s="74"/>
      <c r="Z410" s="74"/>
    </row>
    <row r="411" spans="1:26" ht="14.4" x14ac:dyDescent="0.3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4"/>
      <c r="L411" s="74"/>
      <c r="M411" s="74"/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</row>
    <row r="412" spans="1:26" ht="14.4" x14ac:dyDescent="0.3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4"/>
      <c r="L412" s="74"/>
      <c r="M412" s="74"/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</row>
    <row r="413" spans="1:26" ht="14.4" x14ac:dyDescent="0.3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4"/>
      <c r="L413" s="74"/>
      <c r="M413" s="74"/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</row>
    <row r="414" spans="1:26" ht="14.4" x14ac:dyDescent="0.3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4"/>
      <c r="L414" s="74"/>
      <c r="M414" s="74"/>
      <c r="N414" s="74"/>
      <c r="O414" s="74"/>
      <c r="P414" s="74"/>
      <c r="Q414" s="74"/>
      <c r="R414" s="74"/>
      <c r="S414" s="74"/>
      <c r="T414" s="74"/>
      <c r="U414" s="74"/>
      <c r="V414" s="74"/>
      <c r="W414" s="74"/>
      <c r="X414" s="74"/>
      <c r="Y414" s="74"/>
      <c r="Z414" s="74"/>
    </row>
    <row r="415" spans="1:26" ht="14.4" x14ac:dyDescent="0.3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</row>
    <row r="416" spans="1:26" ht="14.4" x14ac:dyDescent="0.3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4"/>
      <c r="L416" s="74"/>
      <c r="M416" s="74"/>
      <c r="N416" s="74"/>
      <c r="O416" s="74"/>
      <c r="P416" s="74"/>
      <c r="Q416" s="74"/>
      <c r="R416" s="74"/>
      <c r="S416" s="74"/>
      <c r="T416" s="74"/>
      <c r="U416" s="74"/>
      <c r="V416" s="74"/>
      <c r="W416" s="74"/>
      <c r="X416" s="74"/>
      <c r="Y416" s="74"/>
      <c r="Z416" s="74"/>
    </row>
    <row r="417" spans="1:26" ht="14.4" x14ac:dyDescent="0.3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4"/>
      <c r="L417" s="74"/>
      <c r="M417" s="74"/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</row>
    <row r="418" spans="1:26" ht="14.4" x14ac:dyDescent="0.3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4"/>
      <c r="L418" s="74"/>
      <c r="M418" s="74"/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</row>
    <row r="419" spans="1:26" ht="14.4" x14ac:dyDescent="0.3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4"/>
      <c r="L419" s="74"/>
      <c r="M419" s="74"/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</row>
    <row r="420" spans="1:26" ht="14.4" x14ac:dyDescent="0.3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4"/>
      <c r="L420" s="74"/>
      <c r="M420" s="74"/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</row>
    <row r="421" spans="1:26" ht="14.4" x14ac:dyDescent="0.3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4"/>
      <c r="L421" s="74"/>
      <c r="M421" s="74"/>
      <c r="N421" s="74"/>
      <c r="O421" s="74"/>
      <c r="P421" s="74"/>
      <c r="Q421" s="74"/>
      <c r="R421" s="74"/>
      <c r="S421" s="74"/>
      <c r="T421" s="74"/>
      <c r="U421" s="74"/>
      <c r="V421" s="74"/>
      <c r="W421" s="74"/>
      <c r="X421" s="74"/>
      <c r="Y421" s="74"/>
      <c r="Z421" s="74"/>
    </row>
    <row r="422" spans="1:26" ht="14.4" x14ac:dyDescent="0.3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4"/>
      <c r="L422" s="74"/>
      <c r="M422" s="74"/>
      <c r="N422" s="74"/>
      <c r="O422" s="74"/>
      <c r="P422" s="74"/>
      <c r="Q422" s="74"/>
      <c r="R422" s="74"/>
      <c r="S422" s="74"/>
      <c r="T422" s="74"/>
      <c r="U422" s="74"/>
      <c r="V422" s="74"/>
      <c r="W422" s="74"/>
      <c r="X422" s="74"/>
      <c r="Y422" s="74"/>
      <c r="Z422" s="74"/>
    </row>
    <row r="423" spans="1:26" ht="14.4" x14ac:dyDescent="0.3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4"/>
      <c r="L423" s="74"/>
      <c r="M423" s="74"/>
      <c r="N423" s="74"/>
      <c r="O423" s="74"/>
      <c r="P423" s="74"/>
      <c r="Q423" s="74"/>
      <c r="R423" s="74"/>
      <c r="S423" s="74"/>
      <c r="T423" s="74"/>
      <c r="U423" s="74"/>
      <c r="V423" s="74"/>
      <c r="W423" s="74"/>
      <c r="X423" s="74"/>
      <c r="Y423" s="74"/>
      <c r="Z423" s="74"/>
    </row>
    <row r="424" spans="1:26" ht="14.4" x14ac:dyDescent="0.3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4"/>
      <c r="L424" s="74"/>
      <c r="M424" s="74"/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</row>
    <row r="425" spans="1:26" ht="14.4" x14ac:dyDescent="0.3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4"/>
      <c r="L425" s="74"/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</row>
    <row r="426" spans="1:26" ht="14.4" x14ac:dyDescent="0.3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4"/>
      <c r="L426" s="74"/>
      <c r="M426" s="74"/>
      <c r="N426" s="74"/>
      <c r="O426" s="74"/>
      <c r="P426" s="74"/>
      <c r="Q426" s="74"/>
      <c r="R426" s="74"/>
      <c r="S426" s="74"/>
      <c r="T426" s="74"/>
      <c r="U426" s="74"/>
      <c r="V426" s="74"/>
      <c r="W426" s="74"/>
      <c r="X426" s="74"/>
      <c r="Y426" s="74"/>
      <c r="Z426" s="74"/>
    </row>
    <row r="427" spans="1:26" ht="14.4" x14ac:dyDescent="0.3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4"/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</row>
    <row r="428" spans="1:26" ht="14.4" x14ac:dyDescent="0.3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</row>
    <row r="429" spans="1:26" ht="14.4" x14ac:dyDescent="0.3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</row>
    <row r="430" spans="1:26" ht="14.4" x14ac:dyDescent="0.3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4"/>
      <c r="L430" s="74"/>
      <c r="M430" s="74"/>
      <c r="N430" s="74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</row>
    <row r="431" spans="1:26" ht="14.4" x14ac:dyDescent="0.3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4"/>
      <c r="L431" s="74"/>
      <c r="M431" s="74"/>
      <c r="N431" s="74"/>
      <c r="O431" s="74"/>
      <c r="P431" s="74"/>
      <c r="Q431" s="74"/>
      <c r="R431" s="74"/>
      <c r="S431" s="74"/>
      <c r="T431" s="74"/>
      <c r="U431" s="74"/>
      <c r="V431" s="74"/>
      <c r="W431" s="74"/>
      <c r="X431" s="74"/>
      <c r="Y431" s="74"/>
      <c r="Z431" s="74"/>
    </row>
    <row r="432" spans="1:26" ht="14.4" x14ac:dyDescent="0.3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4"/>
      <c r="L432" s="74"/>
      <c r="M432" s="74"/>
      <c r="N432" s="74"/>
      <c r="O432" s="74"/>
      <c r="P432" s="74"/>
      <c r="Q432" s="74"/>
      <c r="R432" s="74"/>
      <c r="S432" s="74"/>
      <c r="T432" s="74"/>
      <c r="U432" s="74"/>
      <c r="V432" s="74"/>
      <c r="W432" s="74"/>
      <c r="X432" s="74"/>
      <c r="Y432" s="74"/>
      <c r="Z432" s="74"/>
    </row>
    <row r="433" spans="1:26" ht="14.4" x14ac:dyDescent="0.3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</row>
    <row r="434" spans="1:26" ht="14.4" x14ac:dyDescent="0.3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</row>
    <row r="435" spans="1:26" ht="14.4" x14ac:dyDescent="0.3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</row>
    <row r="436" spans="1:26" ht="14.4" x14ac:dyDescent="0.3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4"/>
      <c r="L436" s="74"/>
      <c r="M436" s="74"/>
      <c r="N436" s="74"/>
      <c r="O436" s="74"/>
      <c r="P436" s="74"/>
      <c r="Q436" s="74"/>
      <c r="R436" s="74"/>
      <c r="S436" s="74"/>
      <c r="T436" s="74"/>
      <c r="U436" s="74"/>
      <c r="V436" s="74"/>
      <c r="W436" s="74"/>
      <c r="X436" s="74"/>
      <c r="Y436" s="74"/>
      <c r="Z436" s="74"/>
    </row>
    <row r="437" spans="1:26" ht="14.4" x14ac:dyDescent="0.3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4"/>
      <c r="L437" s="74"/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</row>
    <row r="438" spans="1:26" ht="14.4" x14ac:dyDescent="0.3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</row>
    <row r="439" spans="1:26" ht="14.4" x14ac:dyDescent="0.3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4"/>
      <c r="L439" s="74"/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</row>
    <row r="440" spans="1:26" ht="14.4" x14ac:dyDescent="0.3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4"/>
      <c r="L440" s="74"/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</row>
    <row r="441" spans="1:26" ht="14.4" x14ac:dyDescent="0.3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4"/>
      <c r="L441" s="74"/>
      <c r="M441" s="74"/>
      <c r="N441" s="74"/>
      <c r="O441" s="74"/>
      <c r="P441" s="74"/>
      <c r="Q441" s="74"/>
      <c r="R441" s="74"/>
      <c r="S441" s="74"/>
      <c r="T441" s="74"/>
      <c r="U441" s="74"/>
      <c r="V441" s="74"/>
      <c r="W441" s="74"/>
      <c r="X441" s="74"/>
      <c r="Y441" s="74"/>
      <c r="Z441" s="74"/>
    </row>
    <row r="442" spans="1:26" ht="14.4" x14ac:dyDescent="0.3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4"/>
      <c r="L442" s="74"/>
      <c r="M442" s="74"/>
      <c r="N442" s="74"/>
      <c r="O442" s="74"/>
      <c r="P442" s="74"/>
      <c r="Q442" s="74"/>
      <c r="R442" s="74"/>
      <c r="S442" s="74"/>
      <c r="T442" s="74"/>
      <c r="U442" s="74"/>
      <c r="V442" s="74"/>
      <c r="W442" s="74"/>
      <c r="X442" s="74"/>
      <c r="Y442" s="74"/>
      <c r="Z442" s="74"/>
    </row>
    <row r="443" spans="1:26" ht="14.4" x14ac:dyDescent="0.3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4"/>
      <c r="L443" s="74"/>
      <c r="M443" s="74"/>
      <c r="N443" s="74"/>
      <c r="O443" s="74"/>
      <c r="P443" s="74"/>
      <c r="Q443" s="74"/>
      <c r="R443" s="74"/>
      <c r="S443" s="74"/>
      <c r="T443" s="74"/>
      <c r="U443" s="74"/>
      <c r="V443" s="74"/>
      <c r="W443" s="74"/>
      <c r="X443" s="74"/>
      <c r="Y443" s="74"/>
      <c r="Z443" s="74"/>
    </row>
    <row r="444" spans="1:26" ht="14.4" x14ac:dyDescent="0.3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4"/>
      <c r="L444" s="74"/>
      <c r="M444" s="74"/>
      <c r="N444" s="74"/>
      <c r="O444" s="74"/>
      <c r="P444" s="74"/>
      <c r="Q444" s="74"/>
      <c r="R444" s="74"/>
      <c r="S444" s="74"/>
      <c r="T444" s="74"/>
      <c r="U444" s="74"/>
      <c r="V444" s="74"/>
      <c r="W444" s="74"/>
      <c r="X444" s="74"/>
      <c r="Y444" s="74"/>
      <c r="Z444" s="74"/>
    </row>
    <row r="445" spans="1:26" ht="14.4" x14ac:dyDescent="0.3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4"/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  <c r="Z445" s="74"/>
    </row>
    <row r="446" spans="1:26" ht="14.4" x14ac:dyDescent="0.3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4"/>
      <c r="L446" s="74"/>
      <c r="M446" s="74"/>
      <c r="N446" s="74"/>
      <c r="O446" s="74"/>
      <c r="P446" s="74"/>
      <c r="Q446" s="74"/>
      <c r="R446" s="74"/>
      <c r="S446" s="74"/>
      <c r="T446" s="74"/>
      <c r="U446" s="74"/>
      <c r="V446" s="74"/>
      <c r="W446" s="74"/>
      <c r="X446" s="74"/>
      <c r="Y446" s="74"/>
      <c r="Z446" s="74"/>
    </row>
    <row r="447" spans="1:26" ht="14.4" x14ac:dyDescent="0.3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4"/>
      <c r="L447" s="74"/>
      <c r="M447" s="74"/>
      <c r="N447" s="74"/>
      <c r="O447" s="74"/>
      <c r="P447" s="74"/>
      <c r="Q447" s="74"/>
      <c r="R447" s="74"/>
      <c r="S447" s="74"/>
      <c r="T447" s="74"/>
      <c r="U447" s="74"/>
      <c r="V447" s="74"/>
      <c r="W447" s="74"/>
      <c r="X447" s="74"/>
      <c r="Y447" s="74"/>
      <c r="Z447" s="74"/>
    </row>
    <row r="448" spans="1:26" ht="14.4" x14ac:dyDescent="0.3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4"/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  <c r="Z448" s="74"/>
    </row>
    <row r="449" spans="1:26" ht="14.4" x14ac:dyDescent="0.3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4"/>
      <c r="L449" s="74"/>
      <c r="M449" s="74"/>
      <c r="N449" s="74"/>
      <c r="O449" s="74"/>
      <c r="P449" s="74"/>
      <c r="Q449" s="74"/>
      <c r="R449" s="74"/>
      <c r="S449" s="74"/>
      <c r="T449" s="74"/>
      <c r="U449" s="74"/>
      <c r="V449" s="74"/>
      <c r="W449" s="74"/>
      <c r="X449" s="74"/>
      <c r="Y449" s="74"/>
      <c r="Z449" s="74"/>
    </row>
    <row r="450" spans="1:26" ht="14.4" x14ac:dyDescent="0.3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4"/>
      <c r="L450" s="74"/>
      <c r="M450" s="74"/>
      <c r="N450" s="74"/>
      <c r="O450" s="74"/>
      <c r="P450" s="74"/>
      <c r="Q450" s="74"/>
      <c r="R450" s="74"/>
      <c r="S450" s="74"/>
      <c r="T450" s="74"/>
      <c r="U450" s="74"/>
      <c r="V450" s="74"/>
      <c r="W450" s="74"/>
      <c r="X450" s="74"/>
      <c r="Y450" s="74"/>
      <c r="Z450" s="74"/>
    </row>
    <row r="451" spans="1:26" ht="14.4" x14ac:dyDescent="0.3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4"/>
      <c r="L451" s="74"/>
      <c r="M451" s="74"/>
      <c r="N451" s="74"/>
      <c r="O451" s="74"/>
      <c r="P451" s="74"/>
      <c r="Q451" s="74"/>
      <c r="R451" s="74"/>
      <c r="S451" s="74"/>
      <c r="T451" s="74"/>
      <c r="U451" s="74"/>
      <c r="V451" s="74"/>
      <c r="W451" s="74"/>
      <c r="X451" s="74"/>
      <c r="Y451" s="74"/>
      <c r="Z451" s="74"/>
    </row>
    <row r="452" spans="1:26" ht="14.4" x14ac:dyDescent="0.3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4"/>
      <c r="L452" s="74"/>
      <c r="M452" s="74"/>
      <c r="N452" s="74"/>
      <c r="O452" s="74"/>
      <c r="P452" s="74"/>
      <c r="Q452" s="74"/>
      <c r="R452" s="74"/>
      <c r="S452" s="74"/>
      <c r="T452" s="74"/>
      <c r="U452" s="74"/>
      <c r="V452" s="74"/>
      <c r="W452" s="74"/>
      <c r="X452" s="74"/>
      <c r="Y452" s="74"/>
      <c r="Z452" s="74"/>
    </row>
    <row r="453" spans="1:26" ht="14.4" x14ac:dyDescent="0.3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  <c r="Z453" s="74"/>
    </row>
    <row r="454" spans="1:26" ht="14.4" x14ac:dyDescent="0.3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4"/>
      <c r="L454" s="74"/>
      <c r="M454" s="74"/>
      <c r="N454" s="74"/>
      <c r="O454" s="74"/>
      <c r="P454" s="74"/>
      <c r="Q454" s="74"/>
      <c r="R454" s="74"/>
      <c r="S454" s="74"/>
      <c r="T454" s="74"/>
      <c r="U454" s="74"/>
      <c r="V454" s="74"/>
      <c r="W454" s="74"/>
      <c r="X454" s="74"/>
      <c r="Y454" s="74"/>
      <c r="Z454" s="74"/>
    </row>
    <row r="455" spans="1:26" ht="14.4" x14ac:dyDescent="0.3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4"/>
      <c r="L455" s="74"/>
      <c r="M455" s="74"/>
      <c r="N455" s="74"/>
      <c r="O455" s="74"/>
      <c r="P455" s="74"/>
      <c r="Q455" s="74"/>
      <c r="R455" s="74"/>
      <c r="S455" s="74"/>
      <c r="T455" s="74"/>
      <c r="U455" s="74"/>
      <c r="V455" s="74"/>
      <c r="W455" s="74"/>
      <c r="X455" s="74"/>
      <c r="Y455" s="74"/>
      <c r="Z455" s="74"/>
    </row>
    <row r="456" spans="1:26" ht="14.4" x14ac:dyDescent="0.3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4"/>
      <c r="L456" s="74"/>
      <c r="M456" s="74"/>
      <c r="N456" s="74"/>
      <c r="O456" s="74"/>
      <c r="P456" s="74"/>
      <c r="Q456" s="74"/>
      <c r="R456" s="74"/>
      <c r="S456" s="74"/>
      <c r="T456" s="74"/>
      <c r="U456" s="74"/>
      <c r="V456" s="74"/>
      <c r="W456" s="74"/>
      <c r="X456" s="74"/>
      <c r="Y456" s="74"/>
      <c r="Z456" s="74"/>
    </row>
    <row r="457" spans="1:26" ht="14.4" x14ac:dyDescent="0.3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4"/>
      <c r="L457" s="74"/>
      <c r="M457" s="74"/>
      <c r="N457" s="74"/>
      <c r="O457" s="74"/>
      <c r="P457" s="74"/>
      <c r="Q457" s="74"/>
      <c r="R457" s="74"/>
      <c r="S457" s="74"/>
      <c r="T457" s="74"/>
      <c r="U457" s="74"/>
      <c r="V457" s="74"/>
      <c r="W457" s="74"/>
      <c r="X457" s="74"/>
      <c r="Y457" s="74"/>
      <c r="Z457" s="74"/>
    </row>
    <row r="458" spans="1:26" ht="14.4" x14ac:dyDescent="0.3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4"/>
      <c r="L458" s="74"/>
      <c r="M458" s="74"/>
      <c r="N458" s="74"/>
      <c r="O458" s="74"/>
      <c r="P458" s="74"/>
      <c r="Q458" s="74"/>
      <c r="R458" s="74"/>
      <c r="S458" s="74"/>
      <c r="T458" s="74"/>
      <c r="U458" s="74"/>
      <c r="V458" s="74"/>
      <c r="W458" s="74"/>
      <c r="X458" s="74"/>
      <c r="Y458" s="74"/>
      <c r="Z458" s="74"/>
    </row>
    <row r="459" spans="1:26" ht="14.4" x14ac:dyDescent="0.3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4"/>
      <c r="L459" s="74"/>
      <c r="M459" s="74"/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  <c r="Z459" s="74"/>
    </row>
    <row r="460" spans="1:26" ht="14.4" x14ac:dyDescent="0.3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4"/>
      <c r="L460" s="74"/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  <c r="Z460" s="74"/>
    </row>
    <row r="461" spans="1:26" ht="14.4" x14ac:dyDescent="0.3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4"/>
      <c r="L461" s="74"/>
      <c r="M461" s="74"/>
      <c r="N461" s="74"/>
      <c r="O461" s="74"/>
      <c r="P461" s="74"/>
      <c r="Q461" s="74"/>
      <c r="R461" s="74"/>
      <c r="S461" s="74"/>
      <c r="T461" s="74"/>
      <c r="U461" s="74"/>
      <c r="V461" s="74"/>
      <c r="W461" s="74"/>
      <c r="X461" s="74"/>
      <c r="Y461" s="74"/>
      <c r="Z461" s="74"/>
    </row>
    <row r="462" spans="1:26" ht="14.4" x14ac:dyDescent="0.3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</row>
    <row r="463" spans="1:26" ht="14.4" x14ac:dyDescent="0.3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4"/>
      <c r="L463" s="74"/>
      <c r="M463" s="74"/>
      <c r="N463" s="74"/>
      <c r="O463" s="74"/>
      <c r="P463" s="74"/>
      <c r="Q463" s="74"/>
      <c r="R463" s="74"/>
      <c r="S463" s="74"/>
      <c r="T463" s="74"/>
      <c r="U463" s="74"/>
      <c r="V463" s="74"/>
      <c r="W463" s="74"/>
      <c r="X463" s="74"/>
      <c r="Y463" s="74"/>
      <c r="Z463" s="74"/>
    </row>
    <row r="464" spans="1:26" ht="14.4" x14ac:dyDescent="0.3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</row>
    <row r="465" spans="1:26" ht="14.4" x14ac:dyDescent="0.3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4"/>
      <c r="L465" s="74"/>
      <c r="M465" s="74"/>
      <c r="N465" s="74"/>
      <c r="O465" s="74"/>
      <c r="P465" s="74"/>
      <c r="Q465" s="74"/>
      <c r="R465" s="74"/>
      <c r="S465" s="74"/>
      <c r="T465" s="74"/>
      <c r="U465" s="74"/>
      <c r="V465" s="74"/>
      <c r="W465" s="74"/>
      <c r="X465" s="74"/>
      <c r="Y465" s="74"/>
      <c r="Z465" s="74"/>
    </row>
    <row r="466" spans="1:26" ht="14.4" x14ac:dyDescent="0.3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4"/>
      <c r="L466" s="74"/>
      <c r="M466" s="74"/>
      <c r="N466" s="74"/>
      <c r="O466" s="74"/>
      <c r="P466" s="74"/>
      <c r="Q466" s="74"/>
      <c r="R466" s="74"/>
      <c r="S466" s="74"/>
      <c r="T466" s="74"/>
      <c r="U466" s="74"/>
      <c r="V466" s="74"/>
      <c r="W466" s="74"/>
      <c r="X466" s="74"/>
      <c r="Y466" s="74"/>
      <c r="Z466" s="74"/>
    </row>
    <row r="467" spans="1:26" ht="14.4" x14ac:dyDescent="0.3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4"/>
      <c r="L467" s="74"/>
      <c r="M467" s="74"/>
      <c r="N467" s="74"/>
      <c r="O467" s="74"/>
      <c r="P467" s="74"/>
      <c r="Q467" s="74"/>
      <c r="R467" s="74"/>
      <c r="S467" s="74"/>
      <c r="T467" s="74"/>
      <c r="U467" s="74"/>
      <c r="V467" s="74"/>
      <c r="W467" s="74"/>
      <c r="X467" s="74"/>
      <c r="Y467" s="74"/>
      <c r="Z467" s="74"/>
    </row>
    <row r="468" spans="1:26" ht="14.4" x14ac:dyDescent="0.3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  <c r="Z468" s="74"/>
    </row>
    <row r="469" spans="1:26" ht="14.4" x14ac:dyDescent="0.3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4"/>
      <c r="L469" s="74"/>
      <c r="M469" s="74"/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  <c r="Z469" s="74"/>
    </row>
    <row r="470" spans="1:26" ht="14.4" x14ac:dyDescent="0.3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4"/>
      <c r="L470" s="74"/>
      <c r="M470" s="74"/>
      <c r="N470" s="74"/>
      <c r="O470" s="74"/>
      <c r="P470" s="74"/>
      <c r="Q470" s="74"/>
      <c r="R470" s="74"/>
      <c r="S470" s="74"/>
      <c r="T470" s="74"/>
      <c r="U470" s="74"/>
      <c r="V470" s="74"/>
      <c r="W470" s="74"/>
      <c r="X470" s="74"/>
      <c r="Y470" s="74"/>
      <c r="Z470" s="74"/>
    </row>
    <row r="471" spans="1:26" ht="14.4" x14ac:dyDescent="0.3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  <c r="Z471" s="74"/>
    </row>
    <row r="472" spans="1:26" ht="14.4" x14ac:dyDescent="0.3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  <c r="Z472" s="74"/>
    </row>
    <row r="473" spans="1:26" ht="14.4" x14ac:dyDescent="0.3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4"/>
      <c r="L473" s="74"/>
      <c r="M473" s="74"/>
      <c r="N473" s="74"/>
      <c r="O473" s="74"/>
      <c r="P473" s="74"/>
      <c r="Q473" s="74"/>
      <c r="R473" s="74"/>
      <c r="S473" s="74"/>
      <c r="T473" s="74"/>
      <c r="U473" s="74"/>
      <c r="V473" s="74"/>
      <c r="W473" s="74"/>
      <c r="X473" s="74"/>
      <c r="Y473" s="74"/>
      <c r="Z473" s="74"/>
    </row>
    <row r="474" spans="1:26" ht="14.4" x14ac:dyDescent="0.3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4"/>
      <c r="L474" s="74"/>
      <c r="M474" s="74"/>
      <c r="N474" s="74"/>
      <c r="O474" s="74"/>
      <c r="P474" s="74"/>
      <c r="Q474" s="74"/>
      <c r="R474" s="74"/>
      <c r="S474" s="74"/>
      <c r="T474" s="74"/>
      <c r="U474" s="74"/>
      <c r="V474" s="74"/>
      <c r="W474" s="74"/>
      <c r="X474" s="74"/>
      <c r="Y474" s="74"/>
      <c r="Z474" s="74"/>
    </row>
    <row r="475" spans="1:26" ht="14.4" x14ac:dyDescent="0.3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4"/>
      <c r="L475" s="74"/>
      <c r="M475" s="74"/>
      <c r="N475" s="74"/>
      <c r="O475" s="74"/>
      <c r="P475" s="74"/>
      <c r="Q475" s="74"/>
      <c r="R475" s="74"/>
      <c r="S475" s="74"/>
      <c r="T475" s="74"/>
      <c r="U475" s="74"/>
      <c r="V475" s="74"/>
      <c r="W475" s="74"/>
      <c r="X475" s="74"/>
      <c r="Y475" s="74"/>
      <c r="Z475" s="74"/>
    </row>
    <row r="476" spans="1:26" ht="14.4" x14ac:dyDescent="0.3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4"/>
      <c r="L476" s="74"/>
      <c r="M476" s="74"/>
      <c r="N476" s="74"/>
      <c r="O476" s="74"/>
      <c r="P476" s="74"/>
      <c r="Q476" s="74"/>
      <c r="R476" s="74"/>
      <c r="S476" s="74"/>
      <c r="T476" s="74"/>
      <c r="U476" s="74"/>
      <c r="V476" s="74"/>
      <c r="W476" s="74"/>
      <c r="X476" s="74"/>
      <c r="Y476" s="74"/>
      <c r="Z476" s="74"/>
    </row>
    <row r="477" spans="1:26" ht="14.4" x14ac:dyDescent="0.3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4"/>
      <c r="L477" s="74"/>
      <c r="M477" s="74"/>
      <c r="N477" s="74"/>
      <c r="O477" s="74"/>
      <c r="P477" s="74"/>
      <c r="Q477" s="74"/>
      <c r="R477" s="74"/>
      <c r="S477" s="74"/>
      <c r="T477" s="74"/>
      <c r="U477" s="74"/>
      <c r="V477" s="74"/>
      <c r="W477" s="74"/>
      <c r="X477" s="74"/>
      <c r="Y477" s="74"/>
      <c r="Z477" s="74"/>
    </row>
    <row r="478" spans="1:26" ht="14.4" x14ac:dyDescent="0.3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4"/>
      <c r="L478" s="74"/>
      <c r="M478" s="74"/>
      <c r="N478" s="74"/>
      <c r="O478" s="74"/>
      <c r="P478" s="74"/>
      <c r="Q478" s="74"/>
      <c r="R478" s="74"/>
      <c r="S478" s="74"/>
      <c r="T478" s="74"/>
      <c r="U478" s="74"/>
      <c r="V478" s="74"/>
      <c r="W478" s="74"/>
      <c r="X478" s="74"/>
      <c r="Y478" s="74"/>
      <c r="Z478" s="74"/>
    </row>
    <row r="479" spans="1:26" ht="14.4" x14ac:dyDescent="0.3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4"/>
      <c r="L479" s="74"/>
      <c r="M479" s="74"/>
      <c r="N479" s="74"/>
      <c r="O479" s="74"/>
      <c r="P479" s="74"/>
      <c r="Q479" s="74"/>
      <c r="R479" s="74"/>
      <c r="S479" s="74"/>
      <c r="T479" s="74"/>
      <c r="U479" s="74"/>
      <c r="V479" s="74"/>
      <c r="W479" s="74"/>
      <c r="X479" s="74"/>
      <c r="Y479" s="74"/>
      <c r="Z479" s="74"/>
    </row>
    <row r="480" spans="1:26" ht="14.4" x14ac:dyDescent="0.3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4"/>
      <c r="L480" s="74"/>
      <c r="M480" s="74"/>
      <c r="N480" s="74"/>
      <c r="O480" s="74"/>
      <c r="P480" s="74"/>
      <c r="Q480" s="74"/>
      <c r="R480" s="74"/>
      <c r="S480" s="74"/>
      <c r="T480" s="74"/>
      <c r="U480" s="74"/>
      <c r="V480" s="74"/>
      <c r="W480" s="74"/>
      <c r="X480" s="74"/>
      <c r="Y480" s="74"/>
      <c r="Z480" s="74"/>
    </row>
    <row r="481" spans="1:26" ht="14.4" x14ac:dyDescent="0.3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4"/>
      <c r="L481" s="74"/>
      <c r="M481" s="74"/>
      <c r="N481" s="74"/>
      <c r="O481" s="74"/>
      <c r="P481" s="74"/>
      <c r="Q481" s="74"/>
      <c r="R481" s="74"/>
      <c r="S481" s="74"/>
      <c r="T481" s="74"/>
      <c r="U481" s="74"/>
      <c r="V481" s="74"/>
      <c r="W481" s="74"/>
      <c r="X481" s="74"/>
      <c r="Y481" s="74"/>
      <c r="Z481" s="74"/>
    </row>
    <row r="482" spans="1:26" ht="14.4" x14ac:dyDescent="0.3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4"/>
      <c r="L482" s="74"/>
      <c r="M482" s="74"/>
      <c r="N482" s="74"/>
      <c r="O482" s="74"/>
      <c r="P482" s="74"/>
      <c r="Q482" s="74"/>
      <c r="R482" s="74"/>
      <c r="S482" s="74"/>
      <c r="T482" s="74"/>
      <c r="U482" s="74"/>
      <c r="V482" s="74"/>
      <c r="W482" s="74"/>
      <c r="X482" s="74"/>
      <c r="Y482" s="74"/>
      <c r="Z482" s="74"/>
    </row>
    <row r="483" spans="1:26" ht="14.4" x14ac:dyDescent="0.3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4"/>
      <c r="L483" s="74"/>
      <c r="M483" s="74"/>
      <c r="N483" s="74"/>
      <c r="O483" s="74"/>
      <c r="P483" s="74"/>
      <c r="Q483" s="74"/>
      <c r="R483" s="74"/>
      <c r="S483" s="74"/>
      <c r="T483" s="74"/>
      <c r="U483" s="74"/>
      <c r="V483" s="74"/>
      <c r="W483" s="74"/>
      <c r="X483" s="74"/>
      <c r="Y483" s="74"/>
      <c r="Z483" s="74"/>
    </row>
    <row r="484" spans="1:26" ht="14.4" x14ac:dyDescent="0.3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4"/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  <c r="Z484" s="74"/>
    </row>
    <row r="485" spans="1:26" ht="14.4" x14ac:dyDescent="0.3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4"/>
      <c r="L485" s="74"/>
      <c r="M485" s="74"/>
      <c r="N485" s="74"/>
      <c r="O485" s="74"/>
      <c r="P485" s="74"/>
      <c r="Q485" s="74"/>
      <c r="R485" s="74"/>
      <c r="S485" s="74"/>
      <c r="T485" s="74"/>
      <c r="U485" s="74"/>
      <c r="V485" s="74"/>
      <c r="W485" s="74"/>
      <c r="X485" s="74"/>
      <c r="Y485" s="74"/>
      <c r="Z485" s="74"/>
    </row>
    <row r="486" spans="1:26" ht="14.4" x14ac:dyDescent="0.3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4"/>
    </row>
    <row r="487" spans="1:26" ht="14.4" x14ac:dyDescent="0.3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4"/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  <c r="Z487" s="74"/>
    </row>
    <row r="488" spans="1:26" ht="14.4" x14ac:dyDescent="0.3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4"/>
      <c r="L488" s="74"/>
      <c r="M488" s="74"/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</row>
    <row r="489" spans="1:26" ht="14.4" x14ac:dyDescent="0.3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4"/>
      <c r="L489" s="74"/>
      <c r="M489" s="74"/>
      <c r="N489" s="74"/>
      <c r="O489" s="74"/>
      <c r="P489" s="74"/>
      <c r="Q489" s="74"/>
      <c r="R489" s="74"/>
      <c r="S489" s="74"/>
      <c r="T489" s="74"/>
      <c r="U489" s="74"/>
      <c r="V489" s="74"/>
      <c r="W489" s="74"/>
      <c r="X489" s="74"/>
      <c r="Y489" s="74"/>
      <c r="Z489" s="74"/>
    </row>
    <row r="490" spans="1:26" ht="14.4" x14ac:dyDescent="0.3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4"/>
      <c r="L490" s="74"/>
      <c r="M490" s="74"/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  <c r="Z490" s="74"/>
    </row>
    <row r="491" spans="1:26" ht="14.4" x14ac:dyDescent="0.3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4"/>
      <c r="L491" s="74"/>
      <c r="M491" s="74"/>
      <c r="N491" s="74"/>
      <c r="O491" s="74"/>
      <c r="P491" s="74"/>
      <c r="Q491" s="74"/>
      <c r="R491" s="74"/>
      <c r="S491" s="74"/>
      <c r="T491" s="74"/>
      <c r="U491" s="74"/>
      <c r="V491" s="74"/>
      <c r="W491" s="74"/>
      <c r="X491" s="74"/>
      <c r="Y491" s="74"/>
      <c r="Z491" s="74"/>
    </row>
    <row r="492" spans="1:26" ht="14.4" x14ac:dyDescent="0.3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4"/>
      <c r="L492" s="74"/>
      <c r="M492" s="74"/>
      <c r="N492" s="74"/>
      <c r="O492" s="74"/>
      <c r="P492" s="74"/>
      <c r="Q492" s="74"/>
      <c r="R492" s="74"/>
      <c r="S492" s="74"/>
      <c r="T492" s="74"/>
      <c r="U492" s="74"/>
      <c r="V492" s="74"/>
      <c r="W492" s="74"/>
      <c r="X492" s="74"/>
      <c r="Y492" s="74"/>
      <c r="Z492" s="74"/>
    </row>
    <row r="493" spans="1:26" ht="14.4" x14ac:dyDescent="0.3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4"/>
      <c r="L493" s="74"/>
      <c r="M493" s="74"/>
      <c r="N493" s="74"/>
      <c r="O493" s="74"/>
      <c r="P493" s="74"/>
      <c r="Q493" s="74"/>
      <c r="R493" s="74"/>
      <c r="S493" s="74"/>
      <c r="T493" s="74"/>
      <c r="U493" s="74"/>
      <c r="V493" s="74"/>
      <c r="W493" s="74"/>
      <c r="X493" s="74"/>
      <c r="Y493" s="74"/>
      <c r="Z493" s="74"/>
    </row>
    <row r="494" spans="1:26" ht="14.4" x14ac:dyDescent="0.3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4"/>
      <c r="L494" s="74"/>
      <c r="M494" s="74"/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  <c r="Z494" s="74"/>
    </row>
    <row r="495" spans="1:26" ht="14.4" x14ac:dyDescent="0.3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4"/>
      <c r="L495" s="74"/>
      <c r="M495" s="74"/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  <c r="Z495" s="74"/>
    </row>
    <row r="496" spans="1:26" ht="14.4" x14ac:dyDescent="0.3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4"/>
      <c r="L496" s="74"/>
      <c r="M496" s="74"/>
      <c r="N496" s="74"/>
      <c r="O496" s="74"/>
      <c r="P496" s="74"/>
      <c r="Q496" s="74"/>
      <c r="R496" s="74"/>
      <c r="S496" s="74"/>
      <c r="T496" s="74"/>
      <c r="U496" s="74"/>
      <c r="V496" s="74"/>
      <c r="W496" s="74"/>
      <c r="X496" s="74"/>
      <c r="Y496" s="74"/>
      <c r="Z496" s="74"/>
    </row>
    <row r="497" spans="1:26" ht="14.4" x14ac:dyDescent="0.3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4"/>
      <c r="L497" s="74"/>
      <c r="M497" s="74"/>
      <c r="N497" s="74"/>
      <c r="O497" s="74"/>
      <c r="P497" s="74"/>
      <c r="Q497" s="74"/>
      <c r="R497" s="74"/>
      <c r="S497" s="74"/>
      <c r="T497" s="74"/>
      <c r="U497" s="74"/>
      <c r="V497" s="74"/>
      <c r="W497" s="74"/>
      <c r="X497" s="74"/>
      <c r="Y497" s="74"/>
      <c r="Z497" s="74"/>
    </row>
    <row r="498" spans="1:26" ht="14.4" x14ac:dyDescent="0.3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4"/>
      <c r="L498" s="74"/>
      <c r="M498" s="74"/>
      <c r="N498" s="74"/>
      <c r="O498" s="74"/>
      <c r="P498" s="74"/>
      <c r="Q498" s="74"/>
      <c r="R498" s="74"/>
      <c r="S498" s="74"/>
      <c r="T498" s="74"/>
      <c r="U498" s="74"/>
      <c r="V498" s="74"/>
      <c r="W498" s="74"/>
      <c r="X498" s="74"/>
      <c r="Y498" s="74"/>
      <c r="Z498" s="74"/>
    </row>
    <row r="499" spans="1:26" ht="14.4" x14ac:dyDescent="0.3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4"/>
      <c r="L499" s="74"/>
      <c r="M499" s="74"/>
      <c r="N499" s="74"/>
      <c r="O499" s="74"/>
      <c r="P499" s="74"/>
      <c r="Q499" s="74"/>
      <c r="R499" s="74"/>
      <c r="S499" s="74"/>
      <c r="T499" s="74"/>
      <c r="U499" s="74"/>
      <c r="V499" s="74"/>
      <c r="W499" s="74"/>
      <c r="X499" s="74"/>
      <c r="Y499" s="74"/>
      <c r="Z499" s="74"/>
    </row>
    <row r="500" spans="1:26" ht="14.4" x14ac:dyDescent="0.3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4"/>
      <c r="L500" s="74"/>
      <c r="M500" s="74"/>
      <c r="N500" s="74"/>
      <c r="O500" s="74"/>
      <c r="P500" s="74"/>
      <c r="Q500" s="74"/>
      <c r="R500" s="74"/>
      <c r="S500" s="74"/>
      <c r="T500" s="74"/>
      <c r="U500" s="74"/>
      <c r="V500" s="74"/>
      <c r="W500" s="74"/>
      <c r="X500" s="74"/>
      <c r="Y500" s="74"/>
      <c r="Z500" s="74"/>
    </row>
    <row r="501" spans="1:26" ht="14.4" x14ac:dyDescent="0.3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4"/>
      <c r="L501" s="74"/>
      <c r="M501" s="74"/>
      <c r="N501" s="74"/>
      <c r="O501" s="74"/>
      <c r="P501" s="74"/>
      <c r="Q501" s="74"/>
      <c r="R501" s="74"/>
      <c r="S501" s="74"/>
      <c r="T501" s="74"/>
      <c r="U501" s="74"/>
      <c r="V501" s="74"/>
      <c r="W501" s="74"/>
      <c r="X501" s="74"/>
      <c r="Y501" s="74"/>
      <c r="Z501" s="74"/>
    </row>
    <row r="502" spans="1:26" ht="14.4" x14ac:dyDescent="0.3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4"/>
      <c r="L502" s="74"/>
      <c r="M502" s="74"/>
      <c r="N502" s="74"/>
      <c r="O502" s="74"/>
      <c r="P502" s="74"/>
      <c r="Q502" s="74"/>
      <c r="R502" s="74"/>
      <c r="S502" s="74"/>
      <c r="T502" s="74"/>
      <c r="U502" s="74"/>
      <c r="V502" s="74"/>
      <c r="W502" s="74"/>
      <c r="X502" s="74"/>
      <c r="Y502" s="74"/>
      <c r="Z502" s="74"/>
    </row>
    <row r="503" spans="1:26" ht="14.4" x14ac:dyDescent="0.3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4"/>
      <c r="L503" s="74"/>
      <c r="M503" s="74"/>
      <c r="N503" s="74"/>
      <c r="O503" s="74"/>
      <c r="P503" s="74"/>
      <c r="Q503" s="74"/>
      <c r="R503" s="74"/>
      <c r="S503" s="74"/>
      <c r="T503" s="74"/>
      <c r="U503" s="74"/>
      <c r="V503" s="74"/>
      <c r="W503" s="74"/>
      <c r="X503" s="74"/>
      <c r="Y503" s="74"/>
      <c r="Z503" s="74"/>
    </row>
    <row r="504" spans="1:26" ht="14.4" x14ac:dyDescent="0.3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4"/>
      <c r="L504" s="74"/>
      <c r="M504" s="74"/>
      <c r="N504" s="74"/>
      <c r="O504" s="74"/>
      <c r="P504" s="74"/>
      <c r="Q504" s="74"/>
      <c r="R504" s="74"/>
      <c r="S504" s="74"/>
      <c r="T504" s="74"/>
      <c r="U504" s="74"/>
      <c r="V504" s="74"/>
      <c r="W504" s="74"/>
      <c r="X504" s="74"/>
      <c r="Y504" s="74"/>
      <c r="Z504" s="74"/>
    </row>
    <row r="505" spans="1:26" ht="14.4" x14ac:dyDescent="0.3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4"/>
      <c r="L505" s="74"/>
      <c r="M505" s="74"/>
      <c r="N505" s="74"/>
      <c r="O505" s="74"/>
      <c r="P505" s="74"/>
      <c r="Q505" s="74"/>
      <c r="R505" s="74"/>
      <c r="S505" s="74"/>
      <c r="T505" s="74"/>
      <c r="U505" s="74"/>
      <c r="V505" s="74"/>
      <c r="W505" s="74"/>
      <c r="X505" s="74"/>
      <c r="Y505" s="74"/>
      <c r="Z505" s="74"/>
    </row>
    <row r="506" spans="1:26" ht="14.4" x14ac:dyDescent="0.3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4"/>
      <c r="L506" s="74"/>
      <c r="M506" s="74"/>
      <c r="N506" s="74"/>
      <c r="O506" s="74"/>
      <c r="P506" s="74"/>
      <c r="Q506" s="74"/>
      <c r="R506" s="74"/>
      <c r="S506" s="74"/>
      <c r="T506" s="74"/>
      <c r="U506" s="74"/>
      <c r="V506" s="74"/>
      <c r="W506" s="74"/>
      <c r="X506" s="74"/>
      <c r="Y506" s="74"/>
      <c r="Z506" s="74"/>
    </row>
    <row r="507" spans="1:26" ht="14.4" x14ac:dyDescent="0.3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4"/>
      <c r="L507" s="74"/>
      <c r="M507" s="74"/>
      <c r="N507" s="74"/>
      <c r="O507" s="74"/>
      <c r="P507" s="74"/>
      <c r="Q507" s="74"/>
      <c r="R507" s="74"/>
      <c r="S507" s="74"/>
      <c r="T507" s="74"/>
      <c r="U507" s="74"/>
      <c r="V507" s="74"/>
      <c r="W507" s="74"/>
      <c r="X507" s="74"/>
      <c r="Y507" s="74"/>
      <c r="Z507" s="74"/>
    </row>
    <row r="508" spans="1:26" ht="14.4" x14ac:dyDescent="0.3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  <c r="Z508" s="74"/>
    </row>
    <row r="509" spans="1:26" ht="14.4" x14ac:dyDescent="0.3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4"/>
      <c r="L509" s="74"/>
      <c r="M509" s="74"/>
      <c r="N509" s="74"/>
      <c r="O509" s="74"/>
      <c r="P509" s="74"/>
      <c r="Q509" s="74"/>
      <c r="R509" s="74"/>
      <c r="S509" s="74"/>
      <c r="T509" s="74"/>
      <c r="U509" s="74"/>
      <c r="V509" s="74"/>
      <c r="W509" s="74"/>
      <c r="X509" s="74"/>
      <c r="Y509" s="74"/>
      <c r="Z509" s="74"/>
    </row>
    <row r="510" spans="1:26" ht="14.4" x14ac:dyDescent="0.3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  <c r="Z510" s="74"/>
    </row>
    <row r="511" spans="1:26" ht="14.4" x14ac:dyDescent="0.3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4"/>
      <c r="L511" s="74"/>
      <c r="M511" s="74"/>
      <c r="N511" s="74"/>
      <c r="O511" s="74"/>
      <c r="P511" s="74"/>
      <c r="Q511" s="74"/>
      <c r="R511" s="74"/>
      <c r="S511" s="74"/>
      <c r="T511" s="74"/>
      <c r="U511" s="74"/>
      <c r="V511" s="74"/>
      <c r="W511" s="74"/>
      <c r="X511" s="74"/>
      <c r="Y511" s="74"/>
      <c r="Z511" s="74"/>
    </row>
    <row r="512" spans="1:26" ht="14.4" x14ac:dyDescent="0.3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4"/>
      <c r="L512" s="74"/>
      <c r="M512" s="74"/>
      <c r="N512" s="74"/>
      <c r="O512" s="74"/>
      <c r="P512" s="74"/>
      <c r="Q512" s="74"/>
      <c r="R512" s="74"/>
      <c r="S512" s="74"/>
      <c r="T512" s="74"/>
      <c r="U512" s="74"/>
      <c r="V512" s="74"/>
      <c r="W512" s="74"/>
      <c r="X512" s="74"/>
      <c r="Y512" s="74"/>
      <c r="Z512" s="74"/>
    </row>
    <row r="513" spans="1:26" ht="14.4" x14ac:dyDescent="0.3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</row>
    <row r="514" spans="1:26" ht="14.4" x14ac:dyDescent="0.3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  <c r="Z514" s="74"/>
    </row>
    <row r="515" spans="1:26" ht="14.4" x14ac:dyDescent="0.3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4"/>
      <c r="L515" s="74"/>
      <c r="M515" s="74"/>
      <c r="N515" s="74"/>
      <c r="O515" s="74"/>
      <c r="P515" s="74"/>
      <c r="Q515" s="74"/>
      <c r="R515" s="74"/>
      <c r="S515" s="74"/>
      <c r="T515" s="74"/>
      <c r="U515" s="74"/>
      <c r="V515" s="74"/>
      <c r="W515" s="74"/>
      <c r="X515" s="74"/>
      <c r="Y515" s="74"/>
      <c r="Z515" s="74"/>
    </row>
    <row r="516" spans="1:26" ht="14.4" x14ac:dyDescent="0.3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4"/>
      <c r="L516" s="74"/>
      <c r="M516" s="74"/>
      <c r="N516" s="74"/>
      <c r="O516" s="74"/>
      <c r="P516" s="74"/>
      <c r="Q516" s="74"/>
      <c r="R516" s="74"/>
      <c r="S516" s="74"/>
      <c r="T516" s="74"/>
      <c r="U516" s="74"/>
      <c r="V516" s="74"/>
      <c r="W516" s="74"/>
      <c r="X516" s="74"/>
      <c r="Y516" s="74"/>
      <c r="Z516" s="74"/>
    </row>
    <row r="517" spans="1:26" ht="14.4" x14ac:dyDescent="0.3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  <c r="Z517" s="74"/>
    </row>
    <row r="518" spans="1:26" ht="14.4" x14ac:dyDescent="0.3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4"/>
      <c r="L518" s="74"/>
      <c r="M518" s="74"/>
      <c r="N518" s="74"/>
      <c r="O518" s="74"/>
      <c r="P518" s="74"/>
      <c r="Q518" s="74"/>
      <c r="R518" s="74"/>
      <c r="S518" s="74"/>
      <c r="T518" s="74"/>
      <c r="U518" s="74"/>
      <c r="V518" s="74"/>
      <c r="W518" s="74"/>
      <c r="X518" s="74"/>
      <c r="Y518" s="74"/>
      <c r="Z518" s="74"/>
    </row>
    <row r="519" spans="1:26" ht="14.4" x14ac:dyDescent="0.3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4"/>
      <c r="L519" s="74"/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  <c r="Z519" s="74"/>
    </row>
    <row r="520" spans="1:26" ht="14.4" x14ac:dyDescent="0.3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  <c r="Z520" s="74"/>
    </row>
    <row r="521" spans="1:26" ht="14.4" x14ac:dyDescent="0.3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4"/>
      <c r="L521" s="74"/>
      <c r="M521" s="74"/>
      <c r="N521" s="74"/>
      <c r="O521" s="74"/>
      <c r="P521" s="74"/>
      <c r="Q521" s="74"/>
      <c r="R521" s="74"/>
      <c r="S521" s="74"/>
      <c r="T521" s="74"/>
      <c r="U521" s="74"/>
      <c r="V521" s="74"/>
      <c r="W521" s="74"/>
      <c r="X521" s="74"/>
      <c r="Y521" s="74"/>
      <c r="Z521" s="74"/>
    </row>
    <row r="522" spans="1:26" ht="14.4" x14ac:dyDescent="0.3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4"/>
      <c r="L522" s="74"/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</row>
    <row r="523" spans="1:26" ht="14.4" x14ac:dyDescent="0.3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4"/>
      <c r="L523" s="74"/>
      <c r="M523" s="74"/>
      <c r="N523" s="74"/>
      <c r="O523" s="74"/>
      <c r="P523" s="74"/>
      <c r="Q523" s="74"/>
      <c r="R523" s="74"/>
      <c r="S523" s="74"/>
      <c r="T523" s="74"/>
      <c r="U523" s="74"/>
      <c r="V523" s="74"/>
      <c r="W523" s="74"/>
      <c r="X523" s="74"/>
      <c r="Y523" s="74"/>
      <c r="Z523" s="74"/>
    </row>
    <row r="524" spans="1:26" ht="14.4" x14ac:dyDescent="0.3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4"/>
      <c r="L524" s="74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</row>
    <row r="525" spans="1:26" ht="14.4" x14ac:dyDescent="0.3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  <c r="Z525" s="74"/>
    </row>
    <row r="526" spans="1:26" ht="14.4" x14ac:dyDescent="0.3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4"/>
      <c r="L526" s="74"/>
      <c r="M526" s="74"/>
      <c r="N526" s="74"/>
      <c r="O526" s="74"/>
      <c r="P526" s="74"/>
      <c r="Q526" s="74"/>
      <c r="R526" s="74"/>
      <c r="S526" s="74"/>
      <c r="T526" s="74"/>
      <c r="U526" s="74"/>
      <c r="V526" s="74"/>
      <c r="W526" s="74"/>
      <c r="X526" s="74"/>
      <c r="Y526" s="74"/>
      <c r="Z526" s="74"/>
    </row>
    <row r="527" spans="1:26" ht="14.4" x14ac:dyDescent="0.3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4"/>
      <c r="L527" s="74"/>
      <c r="M527" s="74"/>
      <c r="N527" s="74"/>
      <c r="O527" s="74"/>
      <c r="P527" s="74"/>
      <c r="Q527" s="74"/>
      <c r="R527" s="74"/>
      <c r="S527" s="74"/>
      <c r="T527" s="74"/>
      <c r="U527" s="74"/>
      <c r="V527" s="74"/>
      <c r="W527" s="74"/>
      <c r="X527" s="74"/>
      <c r="Y527" s="74"/>
      <c r="Z527" s="74"/>
    </row>
    <row r="528" spans="1:26" ht="14.4" x14ac:dyDescent="0.3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4"/>
      <c r="L528" s="74"/>
      <c r="M528" s="74"/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  <c r="Z528" s="74"/>
    </row>
    <row r="529" spans="1:26" ht="14.4" x14ac:dyDescent="0.3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  <c r="Z529" s="74"/>
    </row>
    <row r="530" spans="1:26" ht="14.4" x14ac:dyDescent="0.3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4"/>
      <c r="L530" s="74"/>
      <c r="M530" s="74"/>
      <c r="N530" s="74"/>
      <c r="O530" s="74"/>
      <c r="P530" s="74"/>
      <c r="Q530" s="74"/>
      <c r="R530" s="74"/>
      <c r="S530" s="74"/>
      <c r="T530" s="74"/>
      <c r="U530" s="74"/>
      <c r="V530" s="74"/>
      <c r="W530" s="74"/>
      <c r="X530" s="74"/>
      <c r="Y530" s="74"/>
      <c r="Z530" s="74"/>
    </row>
    <row r="531" spans="1:26" ht="14.4" x14ac:dyDescent="0.3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  <c r="Z531" s="74"/>
    </row>
    <row r="532" spans="1:26" ht="14.4" x14ac:dyDescent="0.3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4"/>
      <c r="L532" s="74"/>
      <c r="M532" s="74"/>
      <c r="N532" s="74"/>
      <c r="O532" s="74"/>
      <c r="P532" s="74"/>
      <c r="Q532" s="74"/>
      <c r="R532" s="74"/>
      <c r="S532" s="74"/>
      <c r="T532" s="74"/>
      <c r="U532" s="74"/>
      <c r="V532" s="74"/>
      <c r="W532" s="74"/>
      <c r="X532" s="74"/>
      <c r="Y532" s="74"/>
      <c r="Z532" s="74"/>
    </row>
    <row r="533" spans="1:26" ht="14.4" x14ac:dyDescent="0.3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4"/>
      <c r="L533" s="74"/>
      <c r="M533" s="74"/>
      <c r="N533" s="74"/>
      <c r="O533" s="74"/>
      <c r="P533" s="74"/>
      <c r="Q533" s="74"/>
      <c r="R533" s="74"/>
      <c r="S533" s="74"/>
      <c r="T533" s="74"/>
      <c r="U533" s="74"/>
      <c r="V533" s="74"/>
      <c r="W533" s="74"/>
      <c r="X533" s="74"/>
      <c r="Y533" s="74"/>
      <c r="Z533" s="74"/>
    </row>
    <row r="534" spans="1:26" ht="14.4" x14ac:dyDescent="0.3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4"/>
      <c r="L534" s="74"/>
      <c r="M534" s="74"/>
      <c r="N534" s="74"/>
      <c r="O534" s="74"/>
      <c r="P534" s="74"/>
      <c r="Q534" s="74"/>
      <c r="R534" s="74"/>
      <c r="S534" s="74"/>
      <c r="T534" s="74"/>
      <c r="U534" s="74"/>
      <c r="V534" s="74"/>
      <c r="W534" s="74"/>
      <c r="X534" s="74"/>
      <c r="Y534" s="74"/>
      <c r="Z534" s="74"/>
    </row>
    <row r="535" spans="1:26" ht="14.4" x14ac:dyDescent="0.3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4"/>
      <c r="L535" s="74"/>
      <c r="M535" s="74"/>
      <c r="N535" s="74"/>
      <c r="O535" s="74"/>
      <c r="P535" s="74"/>
      <c r="Q535" s="74"/>
      <c r="R535" s="74"/>
      <c r="S535" s="74"/>
      <c r="T535" s="74"/>
      <c r="U535" s="74"/>
      <c r="V535" s="74"/>
      <c r="W535" s="74"/>
      <c r="X535" s="74"/>
      <c r="Y535" s="74"/>
      <c r="Z535" s="74"/>
    </row>
    <row r="536" spans="1:26" ht="14.4" x14ac:dyDescent="0.3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4"/>
      <c r="L536" s="74"/>
      <c r="M536" s="74"/>
      <c r="N536" s="74"/>
      <c r="O536" s="74"/>
      <c r="P536" s="74"/>
      <c r="Q536" s="74"/>
      <c r="R536" s="74"/>
      <c r="S536" s="74"/>
      <c r="T536" s="74"/>
      <c r="U536" s="74"/>
      <c r="V536" s="74"/>
      <c r="W536" s="74"/>
      <c r="X536" s="74"/>
      <c r="Y536" s="74"/>
      <c r="Z536" s="74"/>
    </row>
    <row r="537" spans="1:26" ht="14.4" x14ac:dyDescent="0.3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4"/>
      <c r="L537" s="74"/>
      <c r="M537" s="74"/>
      <c r="N537" s="74"/>
      <c r="O537" s="74"/>
      <c r="P537" s="74"/>
      <c r="Q537" s="74"/>
      <c r="R537" s="74"/>
      <c r="S537" s="74"/>
      <c r="T537" s="74"/>
      <c r="U537" s="74"/>
      <c r="V537" s="74"/>
      <c r="W537" s="74"/>
      <c r="X537" s="74"/>
      <c r="Y537" s="74"/>
      <c r="Z537" s="74"/>
    </row>
    <row r="538" spans="1:26" ht="14.4" x14ac:dyDescent="0.3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4"/>
      <c r="L538" s="74"/>
      <c r="M538" s="74"/>
      <c r="N538" s="74"/>
      <c r="O538" s="74"/>
      <c r="P538" s="74"/>
      <c r="Q538" s="74"/>
      <c r="R538" s="74"/>
      <c r="S538" s="74"/>
      <c r="T538" s="74"/>
      <c r="U538" s="74"/>
      <c r="V538" s="74"/>
      <c r="W538" s="74"/>
      <c r="X538" s="74"/>
      <c r="Y538" s="74"/>
      <c r="Z538" s="74"/>
    </row>
    <row r="539" spans="1:26" ht="14.4" x14ac:dyDescent="0.3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4"/>
      <c r="L539" s="74"/>
      <c r="M539" s="74"/>
      <c r="N539" s="74"/>
      <c r="O539" s="74"/>
      <c r="P539" s="74"/>
      <c r="Q539" s="74"/>
      <c r="R539" s="74"/>
      <c r="S539" s="74"/>
      <c r="T539" s="74"/>
      <c r="U539" s="74"/>
      <c r="V539" s="74"/>
      <c r="W539" s="74"/>
      <c r="X539" s="74"/>
      <c r="Y539" s="74"/>
      <c r="Z539" s="74"/>
    </row>
    <row r="540" spans="1:26" ht="14.4" x14ac:dyDescent="0.3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4"/>
      <c r="L540" s="74"/>
      <c r="M540" s="74"/>
      <c r="N540" s="74"/>
      <c r="O540" s="74"/>
      <c r="P540" s="74"/>
      <c r="Q540" s="74"/>
      <c r="R540" s="74"/>
      <c r="S540" s="74"/>
      <c r="T540" s="74"/>
      <c r="U540" s="74"/>
      <c r="V540" s="74"/>
      <c r="W540" s="74"/>
      <c r="X540" s="74"/>
      <c r="Y540" s="74"/>
      <c r="Z540" s="74"/>
    </row>
    <row r="541" spans="1:26" ht="14.4" x14ac:dyDescent="0.3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4"/>
      <c r="L541" s="74"/>
      <c r="M541" s="74"/>
      <c r="N541" s="74"/>
      <c r="O541" s="74"/>
      <c r="P541" s="74"/>
      <c r="Q541" s="74"/>
      <c r="R541" s="74"/>
      <c r="S541" s="74"/>
      <c r="T541" s="74"/>
      <c r="U541" s="74"/>
      <c r="V541" s="74"/>
      <c r="W541" s="74"/>
      <c r="X541" s="74"/>
      <c r="Y541" s="74"/>
      <c r="Z541" s="74"/>
    </row>
    <row r="542" spans="1:26" ht="14.4" x14ac:dyDescent="0.3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/>
    </row>
    <row r="543" spans="1:26" ht="14.4" x14ac:dyDescent="0.3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4"/>
      <c r="L543" s="74"/>
      <c r="M543" s="74"/>
      <c r="N543" s="74"/>
      <c r="O543" s="74"/>
      <c r="P543" s="74"/>
      <c r="Q543" s="74"/>
      <c r="R543" s="74"/>
      <c r="S543" s="74"/>
      <c r="T543" s="74"/>
      <c r="U543" s="74"/>
      <c r="V543" s="74"/>
      <c r="W543" s="74"/>
      <c r="X543" s="74"/>
      <c r="Y543" s="74"/>
      <c r="Z543" s="74"/>
    </row>
    <row r="544" spans="1:26" ht="14.4" x14ac:dyDescent="0.3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4"/>
      <c r="L544" s="74"/>
      <c r="M544" s="74"/>
      <c r="N544" s="74"/>
      <c r="O544" s="74"/>
      <c r="P544" s="74"/>
      <c r="Q544" s="74"/>
      <c r="R544" s="74"/>
      <c r="S544" s="74"/>
      <c r="T544" s="74"/>
      <c r="U544" s="74"/>
      <c r="V544" s="74"/>
      <c r="W544" s="74"/>
      <c r="X544" s="74"/>
      <c r="Y544" s="74"/>
      <c r="Z544" s="74"/>
    </row>
    <row r="545" spans="1:26" ht="14.4" x14ac:dyDescent="0.3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4"/>
      <c r="L545" s="74"/>
      <c r="M545" s="74"/>
      <c r="N545" s="74"/>
      <c r="O545" s="74"/>
      <c r="P545" s="74"/>
      <c r="Q545" s="74"/>
      <c r="R545" s="74"/>
      <c r="S545" s="74"/>
      <c r="T545" s="74"/>
      <c r="U545" s="74"/>
      <c r="V545" s="74"/>
      <c r="W545" s="74"/>
      <c r="X545" s="74"/>
      <c r="Y545" s="74"/>
      <c r="Z545" s="74"/>
    </row>
    <row r="546" spans="1:26" ht="14.4" x14ac:dyDescent="0.3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4"/>
      <c r="L546" s="74"/>
      <c r="M546" s="74"/>
      <c r="N546" s="74"/>
      <c r="O546" s="74"/>
      <c r="P546" s="74"/>
      <c r="Q546" s="74"/>
      <c r="R546" s="74"/>
      <c r="S546" s="74"/>
      <c r="T546" s="74"/>
      <c r="U546" s="74"/>
      <c r="V546" s="74"/>
      <c r="W546" s="74"/>
      <c r="X546" s="74"/>
      <c r="Y546" s="74"/>
      <c r="Z546" s="74"/>
    </row>
    <row r="547" spans="1:26" ht="14.4" x14ac:dyDescent="0.3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4"/>
      <c r="L547" s="74"/>
      <c r="M547" s="74"/>
      <c r="N547" s="74"/>
      <c r="O547" s="74"/>
      <c r="P547" s="74"/>
      <c r="Q547" s="74"/>
      <c r="R547" s="74"/>
      <c r="S547" s="74"/>
      <c r="T547" s="74"/>
      <c r="U547" s="74"/>
      <c r="V547" s="74"/>
      <c r="W547" s="74"/>
      <c r="X547" s="74"/>
      <c r="Y547" s="74"/>
      <c r="Z547" s="74"/>
    </row>
    <row r="548" spans="1:26" ht="14.4" x14ac:dyDescent="0.3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4"/>
      <c r="L548" s="74"/>
      <c r="M548" s="74"/>
      <c r="N548" s="74"/>
      <c r="O548" s="74"/>
      <c r="P548" s="74"/>
      <c r="Q548" s="74"/>
      <c r="R548" s="74"/>
      <c r="S548" s="74"/>
      <c r="T548" s="74"/>
      <c r="U548" s="74"/>
      <c r="V548" s="74"/>
      <c r="W548" s="74"/>
      <c r="X548" s="74"/>
      <c r="Y548" s="74"/>
      <c r="Z548" s="74"/>
    </row>
    <row r="549" spans="1:26" ht="14.4" x14ac:dyDescent="0.3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4"/>
      <c r="L549" s="74"/>
      <c r="M549" s="74"/>
      <c r="N549" s="74"/>
      <c r="O549" s="74"/>
      <c r="P549" s="74"/>
      <c r="Q549" s="74"/>
      <c r="R549" s="74"/>
      <c r="S549" s="74"/>
      <c r="T549" s="74"/>
      <c r="U549" s="74"/>
      <c r="V549" s="74"/>
      <c r="W549" s="74"/>
      <c r="X549" s="74"/>
      <c r="Y549" s="74"/>
      <c r="Z549" s="74"/>
    </row>
    <row r="550" spans="1:26" ht="14.4" x14ac:dyDescent="0.3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4"/>
      <c r="L550" s="74"/>
      <c r="M550" s="74"/>
      <c r="N550" s="74"/>
      <c r="O550" s="74"/>
      <c r="P550" s="74"/>
      <c r="Q550" s="74"/>
      <c r="R550" s="74"/>
      <c r="S550" s="74"/>
      <c r="T550" s="74"/>
      <c r="U550" s="74"/>
      <c r="V550" s="74"/>
      <c r="W550" s="74"/>
      <c r="X550" s="74"/>
      <c r="Y550" s="74"/>
      <c r="Z550" s="74"/>
    </row>
    <row r="551" spans="1:26" ht="14.4" x14ac:dyDescent="0.3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4"/>
      <c r="L551" s="74"/>
      <c r="M551" s="74"/>
      <c r="N551" s="74"/>
      <c r="O551" s="74"/>
      <c r="P551" s="74"/>
      <c r="Q551" s="74"/>
      <c r="R551" s="74"/>
      <c r="S551" s="74"/>
      <c r="T551" s="74"/>
      <c r="U551" s="74"/>
      <c r="V551" s="74"/>
      <c r="W551" s="74"/>
      <c r="X551" s="74"/>
      <c r="Y551" s="74"/>
      <c r="Z551" s="74"/>
    </row>
    <row r="552" spans="1:26" ht="14.4" x14ac:dyDescent="0.3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4"/>
      <c r="L552" s="74"/>
      <c r="M552" s="74"/>
      <c r="N552" s="74"/>
      <c r="O552" s="74"/>
      <c r="P552" s="74"/>
      <c r="Q552" s="74"/>
      <c r="R552" s="74"/>
      <c r="S552" s="74"/>
      <c r="T552" s="74"/>
      <c r="U552" s="74"/>
      <c r="V552" s="74"/>
      <c r="W552" s="74"/>
      <c r="X552" s="74"/>
      <c r="Y552" s="74"/>
      <c r="Z552" s="74"/>
    </row>
    <row r="553" spans="1:26" ht="14.4" x14ac:dyDescent="0.3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4"/>
      <c r="L553" s="74"/>
      <c r="M553" s="74"/>
      <c r="N553" s="74"/>
      <c r="O553" s="74"/>
      <c r="P553" s="74"/>
      <c r="Q553" s="74"/>
      <c r="R553" s="74"/>
      <c r="S553" s="74"/>
      <c r="T553" s="74"/>
      <c r="U553" s="74"/>
      <c r="V553" s="74"/>
      <c r="W553" s="74"/>
      <c r="X553" s="74"/>
      <c r="Y553" s="74"/>
      <c r="Z553" s="74"/>
    </row>
    <row r="554" spans="1:26" ht="14.4" x14ac:dyDescent="0.3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4"/>
      <c r="L554" s="74"/>
      <c r="M554" s="74"/>
      <c r="N554" s="74"/>
      <c r="O554" s="74"/>
      <c r="P554" s="74"/>
      <c r="Q554" s="74"/>
      <c r="R554" s="74"/>
      <c r="S554" s="74"/>
      <c r="T554" s="74"/>
      <c r="U554" s="74"/>
      <c r="V554" s="74"/>
      <c r="W554" s="74"/>
      <c r="X554" s="74"/>
      <c r="Y554" s="74"/>
      <c r="Z554" s="74"/>
    </row>
    <row r="555" spans="1:26" ht="14.4" x14ac:dyDescent="0.3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4"/>
      <c r="L555" s="74"/>
      <c r="M555" s="74"/>
      <c r="N555" s="74"/>
      <c r="O555" s="74"/>
      <c r="P555" s="74"/>
      <c r="Q555" s="74"/>
      <c r="R555" s="74"/>
      <c r="S555" s="74"/>
      <c r="T555" s="74"/>
      <c r="U555" s="74"/>
      <c r="V555" s="74"/>
      <c r="W555" s="74"/>
      <c r="X555" s="74"/>
      <c r="Y555" s="74"/>
      <c r="Z555" s="74"/>
    </row>
    <row r="556" spans="1:26" ht="14.4" x14ac:dyDescent="0.3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4"/>
      <c r="L556" s="74"/>
      <c r="M556" s="74"/>
      <c r="N556" s="74"/>
      <c r="O556" s="74"/>
      <c r="P556" s="74"/>
      <c r="Q556" s="74"/>
      <c r="R556" s="74"/>
      <c r="S556" s="74"/>
      <c r="T556" s="74"/>
      <c r="U556" s="74"/>
      <c r="V556" s="74"/>
      <c r="W556" s="74"/>
      <c r="X556" s="74"/>
      <c r="Y556" s="74"/>
      <c r="Z556" s="74"/>
    </row>
    <row r="557" spans="1:26" ht="14.4" x14ac:dyDescent="0.3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4"/>
      <c r="L557" s="74"/>
      <c r="M557" s="74"/>
      <c r="N557" s="74"/>
      <c r="O557" s="74"/>
      <c r="P557" s="74"/>
      <c r="Q557" s="74"/>
      <c r="R557" s="74"/>
      <c r="S557" s="74"/>
      <c r="T557" s="74"/>
      <c r="U557" s="74"/>
      <c r="V557" s="74"/>
      <c r="W557" s="74"/>
      <c r="X557" s="74"/>
      <c r="Y557" s="74"/>
      <c r="Z557" s="74"/>
    </row>
    <row r="558" spans="1:26" ht="14.4" x14ac:dyDescent="0.3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4"/>
      <c r="L558" s="74"/>
      <c r="M558" s="74"/>
      <c r="N558" s="74"/>
      <c r="O558" s="74"/>
      <c r="P558" s="74"/>
      <c r="Q558" s="74"/>
      <c r="R558" s="74"/>
      <c r="S558" s="74"/>
      <c r="T558" s="74"/>
      <c r="U558" s="74"/>
      <c r="V558" s="74"/>
      <c r="W558" s="74"/>
      <c r="X558" s="74"/>
      <c r="Y558" s="74"/>
      <c r="Z558" s="74"/>
    </row>
    <row r="559" spans="1:26" ht="14.4" x14ac:dyDescent="0.3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4"/>
      <c r="L559" s="74"/>
      <c r="M559" s="74"/>
      <c r="N559" s="74"/>
      <c r="O559" s="74"/>
      <c r="P559" s="74"/>
      <c r="Q559" s="74"/>
      <c r="R559" s="74"/>
      <c r="S559" s="74"/>
      <c r="T559" s="74"/>
      <c r="U559" s="74"/>
      <c r="V559" s="74"/>
      <c r="W559" s="74"/>
      <c r="X559" s="74"/>
      <c r="Y559" s="74"/>
      <c r="Z559" s="74"/>
    </row>
    <row r="560" spans="1:26" ht="14.4" x14ac:dyDescent="0.3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4"/>
      <c r="L560" s="74"/>
      <c r="M560" s="74"/>
      <c r="N560" s="74"/>
      <c r="O560" s="74"/>
      <c r="P560" s="74"/>
      <c r="Q560" s="74"/>
      <c r="R560" s="74"/>
      <c r="S560" s="74"/>
      <c r="T560" s="74"/>
      <c r="U560" s="74"/>
      <c r="V560" s="74"/>
      <c r="W560" s="74"/>
      <c r="X560" s="74"/>
      <c r="Y560" s="74"/>
      <c r="Z560" s="74"/>
    </row>
    <row r="561" spans="1:26" ht="14.4" x14ac:dyDescent="0.3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4"/>
      <c r="L561" s="74"/>
      <c r="M561" s="74"/>
      <c r="N561" s="74"/>
      <c r="O561" s="74"/>
      <c r="P561" s="74"/>
      <c r="Q561" s="74"/>
      <c r="R561" s="74"/>
      <c r="S561" s="74"/>
      <c r="T561" s="74"/>
      <c r="U561" s="74"/>
      <c r="V561" s="74"/>
      <c r="W561" s="74"/>
      <c r="X561" s="74"/>
      <c r="Y561" s="74"/>
      <c r="Z561" s="74"/>
    </row>
    <row r="562" spans="1:26" ht="14.4" x14ac:dyDescent="0.3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</row>
    <row r="563" spans="1:26" ht="14.4" x14ac:dyDescent="0.3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4"/>
      <c r="L563" s="74"/>
      <c r="M563" s="74"/>
      <c r="N563" s="74"/>
      <c r="O563" s="74"/>
      <c r="P563" s="74"/>
      <c r="Q563" s="74"/>
      <c r="R563" s="74"/>
      <c r="S563" s="74"/>
      <c r="T563" s="74"/>
      <c r="U563" s="74"/>
      <c r="V563" s="74"/>
      <c r="W563" s="74"/>
      <c r="X563" s="74"/>
      <c r="Y563" s="74"/>
      <c r="Z563" s="74"/>
    </row>
    <row r="564" spans="1:26" ht="14.4" x14ac:dyDescent="0.3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4"/>
      <c r="L564" s="74"/>
      <c r="M564" s="74"/>
      <c r="N564" s="74"/>
      <c r="O564" s="74"/>
      <c r="P564" s="74"/>
      <c r="Q564" s="74"/>
      <c r="R564" s="74"/>
      <c r="S564" s="74"/>
      <c r="T564" s="74"/>
      <c r="U564" s="74"/>
      <c r="V564" s="74"/>
      <c r="W564" s="74"/>
      <c r="X564" s="74"/>
      <c r="Y564" s="74"/>
      <c r="Z564" s="74"/>
    </row>
    <row r="565" spans="1:26" ht="14.4" x14ac:dyDescent="0.3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4"/>
      <c r="L565" s="74"/>
      <c r="M565" s="74"/>
      <c r="N565" s="74"/>
      <c r="O565" s="74"/>
      <c r="P565" s="74"/>
      <c r="Q565" s="74"/>
      <c r="R565" s="74"/>
      <c r="S565" s="74"/>
      <c r="T565" s="74"/>
      <c r="U565" s="74"/>
      <c r="V565" s="74"/>
      <c r="W565" s="74"/>
      <c r="X565" s="74"/>
      <c r="Y565" s="74"/>
      <c r="Z565" s="74"/>
    </row>
    <row r="566" spans="1:26" ht="14.4" x14ac:dyDescent="0.3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4"/>
      <c r="L566" s="74"/>
      <c r="M566" s="74"/>
      <c r="N566" s="74"/>
      <c r="O566" s="74"/>
      <c r="P566" s="74"/>
      <c r="Q566" s="74"/>
      <c r="R566" s="74"/>
      <c r="S566" s="74"/>
      <c r="T566" s="74"/>
      <c r="U566" s="74"/>
      <c r="V566" s="74"/>
      <c r="W566" s="74"/>
      <c r="X566" s="74"/>
      <c r="Y566" s="74"/>
      <c r="Z566" s="74"/>
    </row>
    <row r="567" spans="1:26" ht="14.4" x14ac:dyDescent="0.3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4"/>
      <c r="L567" s="74"/>
      <c r="M567" s="74"/>
      <c r="N567" s="74"/>
      <c r="O567" s="74"/>
      <c r="P567" s="74"/>
      <c r="Q567" s="74"/>
      <c r="R567" s="74"/>
      <c r="S567" s="74"/>
      <c r="T567" s="74"/>
      <c r="U567" s="74"/>
      <c r="V567" s="74"/>
      <c r="W567" s="74"/>
      <c r="X567" s="74"/>
      <c r="Y567" s="74"/>
      <c r="Z567" s="74"/>
    </row>
    <row r="568" spans="1:26" ht="14.4" x14ac:dyDescent="0.3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4"/>
      <c r="L568" s="74"/>
      <c r="M568" s="74"/>
      <c r="N568" s="74"/>
      <c r="O568" s="74"/>
      <c r="P568" s="74"/>
      <c r="Q568" s="74"/>
      <c r="R568" s="74"/>
      <c r="S568" s="74"/>
      <c r="T568" s="74"/>
      <c r="U568" s="74"/>
      <c r="V568" s="74"/>
      <c r="W568" s="74"/>
      <c r="X568" s="74"/>
      <c r="Y568" s="74"/>
      <c r="Z568" s="74"/>
    </row>
    <row r="569" spans="1:26" ht="14.4" x14ac:dyDescent="0.3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4"/>
      <c r="L569" s="74"/>
      <c r="M569" s="74"/>
      <c r="N569" s="74"/>
      <c r="O569" s="74"/>
      <c r="P569" s="74"/>
      <c r="Q569" s="74"/>
      <c r="R569" s="74"/>
      <c r="S569" s="74"/>
      <c r="T569" s="74"/>
      <c r="U569" s="74"/>
      <c r="V569" s="74"/>
      <c r="W569" s="74"/>
      <c r="X569" s="74"/>
      <c r="Y569" s="74"/>
      <c r="Z569" s="74"/>
    </row>
    <row r="570" spans="1:26" ht="14.4" x14ac:dyDescent="0.3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4"/>
      <c r="L570" s="74"/>
      <c r="M570" s="74"/>
      <c r="N570" s="74"/>
      <c r="O570" s="74"/>
      <c r="P570" s="74"/>
      <c r="Q570" s="74"/>
      <c r="R570" s="74"/>
      <c r="S570" s="74"/>
      <c r="T570" s="74"/>
      <c r="U570" s="74"/>
      <c r="V570" s="74"/>
      <c r="W570" s="74"/>
      <c r="X570" s="74"/>
      <c r="Y570" s="74"/>
      <c r="Z570" s="74"/>
    </row>
    <row r="571" spans="1:26" ht="14.4" x14ac:dyDescent="0.3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4"/>
      <c r="L571" s="74"/>
      <c r="M571" s="74"/>
      <c r="N571" s="74"/>
      <c r="O571" s="74"/>
      <c r="P571" s="74"/>
      <c r="Q571" s="74"/>
      <c r="R571" s="74"/>
      <c r="S571" s="74"/>
      <c r="T571" s="74"/>
      <c r="U571" s="74"/>
      <c r="V571" s="74"/>
      <c r="W571" s="74"/>
      <c r="X571" s="74"/>
      <c r="Y571" s="74"/>
      <c r="Z571" s="74"/>
    </row>
    <row r="572" spans="1:26" ht="14.4" x14ac:dyDescent="0.3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4"/>
      <c r="L572" s="74"/>
      <c r="M572" s="74"/>
      <c r="N572" s="74"/>
      <c r="O572" s="74"/>
      <c r="P572" s="74"/>
      <c r="Q572" s="74"/>
      <c r="R572" s="74"/>
      <c r="S572" s="74"/>
      <c r="T572" s="74"/>
      <c r="U572" s="74"/>
      <c r="V572" s="74"/>
      <c r="W572" s="74"/>
      <c r="X572" s="74"/>
      <c r="Y572" s="74"/>
      <c r="Z572" s="74"/>
    </row>
    <row r="573" spans="1:26" ht="14.4" x14ac:dyDescent="0.3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4"/>
      <c r="L573" s="74"/>
      <c r="M573" s="74"/>
      <c r="N573" s="74"/>
      <c r="O573" s="74"/>
      <c r="P573" s="74"/>
      <c r="Q573" s="74"/>
      <c r="R573" s="74"/>
      <c r="S573" s="74"/>
      <c r="T573" s="74"/>
      <c r="U573" s="74"/>
      <c r="V573" s="74"/>
      <c r="W573" s="74"/>
      <c r="X573" s="74"/>
      <c r="Y573" s="74"/>
      <c r="Z573" s="74"/>
    </row>
    <row r="574" spans="1:26" ht="14.4" x14ac:dyDescent="0.3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4"/>
      <c r="L574" s="74"/>
      <c r="M574" s="74"/>
      <c r="N574" s="74"/>
      <c r="O574" s="74"/>
      <c r="P574" s="74"/>
      <c r="Q574" s="74"/>
      <c r="R574" s="74"/>
      <c r="S574" s="74"/>
      <c r="T574" s="74"/>
      <c r="U574" s="74"/>
      <c r="V574" s="74"/>
      <c r="W574" s="74"/>
      <c r="X574" s="74"/>
      <c r="Y574" s="74"/>
      <c r="Z574" s="74"/>
    </row>
    <row r="575" spans="1:26" ht="14.4" x14ac:dyDescent="0.3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4"/>
      <c r="L575" s="74"/>
      <c r="M575" s="74"/>
      <c r="N575" s="74"/>
      <c r="O575" s="74"/>
      <c r="P575" s="74"/>
      <c r="Q575" s="74"/>
      <c r="R575" s="74"/>
      <c r="S575" s="74"/>
      <c r="T575" s="74"/>
      <c r="U575" s="74"/>
      <c r="V575" s="74"/>
      <c r="W575" s="74"/>
      <c r="X575" s="74"/>
      <c r="Y575" s="74"/>
      <c r="Z575" s="74"/>
    </row>
    <row r="576" spans="1:26" ht="14.4" x14ac:dyDescent="0.3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4"/>
      <c r="L576" s="74"/>
      <c r="M576" s="74"/>
      <c r="N576" s="74"/>
      <c r="O576" s="74"/>
      <c r="P576" s="74"/>
      <c r="Q576" s="74"/>
      <c r="R576" s="74"/>
      <c r="S576" s="74"/>
      <c r="T576" s="74"/>
      <c r="U576" s="74"/>
      <c r="V576" s="74"/>
      <c r="W576" s="74"/>
      <c r="X576" s="74"/>
      <c r="Y576" s="74"/>
      <c r="Z576" s="74"/>
    </row>
    <row r="577" spans="1:26" ht="14.4" x14ac:dyDescent="0.3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4"/>
      <c r="L577" s="74"/>
      <c r="M577" s="74"/>
      <c r="N577" s="74"/>
      <c r="O577" s="74"/>
      <c r="P577" s="74"/>
      <c r="Q577" s="74"/>
      <c r="R577" s="74"/>
      <c r="S577" s="74"/>
      <c r="T577" s="74"/>
      <c r="U577" s="74"/>
      <c r="V577" s="74"/>
      <c r="W577" s="74"/>
      <c r="X577" s="74"/>
      <c r="Y577" s="74"/>
      <c r="Z577" s="74"/>
    </row>
    <row r="578" spans="1:26" ht="14.4" x14ac:dyDescent="0.3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4"/>
      <c r="L578" s="74"/>
      <c r="M578" s="74"/>
      <c r="N578" s="74"/>
      <c r="O578" s="74"/>
      <c r="P578" s="74"/>
      <c r="Q578" s="74"/>
      <c r="R578" s="74"/>
      <c r="S578" s="74"/>
      <c r="T578" s="74"/>
      <c r="U578" s="74"/>
      <c r="V578" s="74"/>
      <c r="W578" s="74"/>
      <c r="X578" s="74"/>
      <c r="Y578" s="74"/>
      <c r="Z578" s="74"/>
    </row>
    <row r="579" spans="1:26" ht="14.4" x14ac:dyDescent="0.3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4"/>
      <c r="L579" s="74"/>
      <c r="M579" s="74"/>
      <c r="N579" s="74"/>
      <c r="O579" s="74"/>
      <c r="P579" s="74"/>
      <c r="Q579" s="74"/>
      <c r="R579" s="74"/>
      <c r="S579" s="74"/>
      <c r="T579" s="74"/>
      <c r="U579" s="74"/>
      <c r="V579" s="74"/>
      <c r="W579" s="74"/>
      <c r="X579" s="74"/>
      <c r="Y579" s="74"/>
      <c r="Z579" s="74"/>
    </row>
    <row r="580" spans="1:26" ht="14.4" x14ac:dyDescent="0.3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4"/>
      <c r="L580" s="74"/>
      <c r="M580" s="74"/>
      <c r="N580" s="74"/>
      <c r="O580" s="74"/>
      <c r="P580" s="74"/>
      <c r="Q580" s="74"/>
      <c r="R580" s="74"/>
      <c r="S580" s="74"/>
      <c r="T580" s="74"/>
      <c r="U580" s="74"/>
      <c r="V580" s="74"/>
      <c r="W580" s="74"/>
      <c r="X580" s="74"/>
      <c r="Y580" s="74"/>
      <c r="Z580" s="74"/>
    </row>
    <row r="581" spans="1:26" ht="14.4" x14ac:dyDescent="0.3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4"/>
      <c r="L581" s="74"/>
      <c r="M581" s="74"/>
      <c r="N581" s="74"/>
      <c r="O581" s="74"/>
      <c r="P581" s="74"/>
      <c r="Q581" s="74"/>
      <c r="R581" s="74"/>
      <c r="S581" s="74"/>
      <c r="T581" s="74"/>
      <c r="U581" s="74"/>
      <c r="V581" s="74"/>
      <c r="W581" s="74"/>
      <c r="X581" s="74"/>
      <c r="Y581" s="74"/>
      <c r="Z581" s="74"/>
    </row>
    <row r="582" spans="1:26" ht="14.4" x14ac:dyDescent="0.3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4"/>
      <c r="L582" s="74"/>
      <c r="M582" s="74"/>
      <c r="N582" s="74"/>
      <c r="O582" s="74"/>
      <c r="P582" s="74"/>
      <c r="Q582" s="74"/>
      <c r="R582" s="74"/>
      <c r="S582" s="74"/>
      <c r="T582" s="74"/>
      <c r="U582" s="74"/>
      <c r="V582" s="74"/>
      <c r="W582" s="74"/>
      <c r="X582" s="74"/>
      <c r="Y582" s="74"/>
      <c r="Z582" s="74"/>
    </row>
    <row r="583" spans="1:26" ht="14.4" x14ac:dyDescent="0.3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4"/>
      <c r="L583" s="74"/>
      <c r="M583" s="74"/>
      <c r="N583" s="74"/>
      <c r="O583" s="74"/>
      <c r="P583" s="74"/>
      <c r="Q583" s="74"/>
      <c r="R583" s="74"/>
      <c r="S583" s="74"/>
      <c r="T583" s="74"/>
      <c r="U583" s="74"/>
      <c r="V583" s="74"/>
      <c r="W583" s="74"/>
      <c r="X583" s="74"/>
      <c r="Y583" s="74"/>
      <c r="Z583" s="74"/>
    </row>
    <row r="584" spans="1:26" ht="14.4" x14ac:dyDescent="0.3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4"/>
      <c r="L584" s="74"/>
      <c r="M584" s="74"/>
      <c r="N584" s="74"/>
      <c r="O584" s="74"/>
      <c r="P584" s="74"/>
      <c r="Q584" s="74"/>
      <c r="R584" s="74"/>
      <c r="S584" s="74"/>
      <c r="T584" s="74"/>
      <c r="U584" s="74"/>
      <c r="V584" s="74"/>
      <c r="W584" s="74"/>
      <c r="X584" s="74"/>
      <c r="Y584" s="74"/>
      <c r="Z584" s="74"/>
    </row>
    <row r="585" spans="1:26" ht="14.4" x14ac:dyDescent="0.3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4"/>
      <c r="L585" s="74"/>
      <c r="M585" s="74"/>
      <c r="N585" s="74"/>
      <c r="O585" s="74"/>
      <c r="P585" s="74"/>
      <c r="Q585" s="74"/>
      <c r="R585" s="74"/>
      <c r="S585" s="74"/>
      <c r="T585" s="74"/>
      <c r="U585" s="74"/>
      <c r="V585" s="74"/>
      <c r="W585" s="74"/>
      <c r="X585" s="74"/>
      <c r="Y585" s="74"/>
      <c r="Z585" s="74"/>
    </row>
    <row r="586" spans="1:26" ht="14.4" x14ac:dyDescent="0.3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  <c r="Z586" s="74"/>
    </row>
    <row r="587" spans="1:26" ht="14.4" x14ac:dyDescent="0.3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4"/>
      <c r="L587" s="74"/>
      <c r="M587" s="74"/>
      <c r="N587" s="74"/>
      <c r="O587" s="74"/>
      <c r="P587" s="74"/>
      <c r="Q587" s="74"/>
      <c r="R587" s="74"/>
      <c r="S587" s="74"/>
      <c r="T587" s="74"/>
      <c r="U587" s="74"/>
      <c r="V587" s="74"/>
      <c r="W587" s="74"/>
      <c r="X587" s="74"/>
      <c r="Y587" s="74"/>
      <c r="Z587" s="74"/>
    </row>
    <row r="588" spans="1:26" ht="14.4" x14ac:dyDescent="0.3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4"/>
      <c r="L588" s="74"/>
      <c r="M588" s="74"/>
      <c r="N588" s="74"/>
      <c r="O588" s="74"/>
      <c r="P588" s="74"/>
      <c r="Q588" s="74"/>
      <c r="R588" s="74"/>
      <c r="S588" s="74"/>
      <c r="T588" s="74"/>
      <c r="U588" s="74"/>
      <c r="V588" s="74"/>
      <c r="W588" s="74"/>
      <c r="X588" s="74"/>
      <c r="Y588" s="74"/>
      <c r="Z588" s="74"/>
    </row>
    <row r="589" spans="1:26" ht="14.4" x14ac:dyDescent="0.3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4"/>
      <c r="L589" s="74"/>
      <c r="M589" s="74"/>
      <c r="N589" s="74"/>
      <c r="O589" s="74"/>
      <c r="P589" s="74"/>
      <c r="Q589" s="74"/>
      <c r="R589" s="74"/>
      <c r="S589" s="74"/>
      <c r="T589" s="74"/>
      <c r="U589" s="74"/>
      <c r="V589" s="74"/>
      <c r="W589" s="74"/>
      <c r="X589" s="74"/>
      <c r="Y589" s="74"/>
      <c r="Z589" s="74"/>
    </row>
    <row r="590" spans="1:26" ht="14.4" x14ac:dyDescent="0.3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4"/>
      <c r="L590" s="74"/>
      <c r="M590" s="74"/>
      <c r="N590" s="74"/>
      <c r="O590" s="74"/>
      <c r="P590" s="74"/>
      <c r="Q590" s="74"/>
      <c r="R590" s="74"/>
      <c r="S590" s="74"/>
      <c r="T590" s="74"/>
      <c r="U590" s="74"/>
      <c r="V590" s="74"/>
      <c r="W590" s="74"/>
      <c r="X590" s="74"/>
      <c r="Y590" s="74"/>
      <c r="Z590" s="74"/>
    </row>
    <row r="591" spans="1:26" ht="14.4" x14ac:dyDescent="0.3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74"/>
      <c r="V591" s="74"/>
      <c r="W591" s="74"/>
      <c r="X591" s="74"/>
      <c r="Y591" s="74"/>
      <c r="Z591" s="74"/>
    </row>
    <row r="592" spans="1:26" ht="14.4" x14ac:dyDescent="0.3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4"/>
      <c r="L592" s="74"/>
      <c r="M592" s="74"/>
      <c r="N592" s="74"/>
      <c r="O592" s="74"/>
      <c r="P592" s="74"/>
      <c r="Q592" s="74"/>
      <c r="R592" s="74"/>
      <c r="S592" s="74"/>
      <c r="T592" s="74"/>
      <c r="U592" s="74"/>
      <c r="V592" s="74"/>
      <c r="W592" s="74"/>
      <c r="X592" s="74"/>
      <c r="Y592" s="74"/>
      <c r="Z592" s="74"/>
    </row>
    <row r="593" spans="1:26" ht="14.4" x14ac:dyDescent="0.3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74"/>
      <c r="V593" s="74"/>
      <c r="W593" s="74"/>
      <c r="X593" s="74"/>
      <c r="Y593" s="74"/>
      <c r="Z593" s="74"/>
    </row>
    <row r="594" spans="1:26" ht="14.4" x14ac:dyDescent="0.3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4"/>
      <c r="L594" s="74"/>
      <c r="M594" s="74"/>
      <c r="N594" s="74"/>
      <c r="O594" s="74"/>
      <c r="P594" s="74"/>
      <c r="Q594" s="74"/>
      <c r="R594" s="74"/>
      <c r="S594" s="74"/>
      <c r="T594" s="74"/>
      <c r="U594" s="74"/>
      <c r="V594" s="74"/>
      <c r="W594" s="74"/>
      <c r="X594" s="74"/>
      <c r="Y594" s="74"/>
      <c r="Z594" s="74"/>
    </row>
    <row r="595" spans="1:26" ht="14.4" x14ac:dyDescent="0.3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4"/>
      <c r="L595" s="74"/>
      <c r="M595" s="74"/>
      <c r="N595" s="74"/>
      <c r="O595" s="74"/>
      <c r="P595" s="74"/>
      <c r="Q595" s="74"/>
      <c r="R595" s="74"/>
      <c r="S595" s="74"/>
      <c r="T595" s="74"/>
      <c r="U595" s="74"/>
      <c r="V595" s="74"/>
      <c r="W595" s="74"/>
      <c r="X595" s="74"/>
      <c r="Y595" s="74"/>
      <c r="Z595" s="74"/>
    </row>
    <row r="596" spans="1:26" ht="14.4" x14ac:dyDescent="0.3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4"/>
      <c r="L596" s="74"/>
      <c r="M596" s="74"/>
      <c r="N596" s="74"/>
      <c r="O596" s="74"/>
      <c r="P596" s="74"/>
      <c r="Q596" s="74"/>
      <c r="R596" s="74"/>
      <c r="S596" s="74"/>
      <c r="T596" s="74"/>
      <c r="U596" s="74"/>
      <c r="V596" s="74"/>
      <c r="W596" s="74"/>
      <c r="X596" s="74"/>
      <c r="Y596" s="74"/>
      <c r="Z596" s="74"/>
    </row>
    <row r="597" spans="1:26" ht="14.4" x14ac:dyDescent="0.3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74"/>
      <c r="V597" s="74"/>
      <c r="W597" s="74"/>
      <c r="X597" s="74"/>
      <c r="Y597" s="74"/>
      <c r="Z597" s="74"/>
    </row>
    <row r="598" spans="1:26" ht="14.4" x14ac:dyDescent="0.3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4"/>
      <c r="L598" s="74"/>
      <c r="M598" s="74"/>
      <c r="N598" s="74"/>
      <c r="O598" s="74"/>
      <c r="P598" s="74"/>
      <c r="Q598" s="74"/>
      <c r="R598" s="74"/>
      <c r="S598" s="74"/>
      <c r="T598" s="74"/>
      <c r="U598" s="74"/>
      <c r="V598" s="74"/>
      <c r="W598" s="74"/>
      <c r="X598" s="74"/>
      <c r="Y598" s="74"/>
      <c r="Z598" s="74"/>
    </row>
    <row r="599" spans="1:26" ht="14.4" x14ac:dyDescent="0.3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74"/>
      <c r="V599" s="74"/>
      <c r="W599" s="74"/>
      <c r="X599" s="74"/>
      <c r="Y599" s="74"/>
      <c r="Z599" s="74"/>
    </row>
    <row r="600" spans="1:26" ht="14.4" x14ac:dyDescent="0.3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4"/>
      <c r="L600" s="74"/>
      <c r="M600" s="74"/>
      <c r="N600" s="74"/>
      <c r="O600" s="74"/>
      <c r="P600" s="74"/>
      <c r="Q600" s="74"/>
      <c r="R600" s="74"/>
      <c r="S600" s="74"/>
      <c r="T600" s="74"/>
      <c r="U600" s="74"/>
      <c r="V600" s="74"/>
      <c r="W600" s="74"/>
      <c r="X600" s="74"/>
      <c r="Y600" s="74"/>
      <c r="Z600" s="74"/>
    </row>
    <row r="601" spans="1:26" ht="14.4" x14ac:dyDescent="0.3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4"/>
      <c r="L601" s="74"/>
      <c r="M601" s="74"/>
      <c r="N601" s="74"/>
      <c r="O601" s="74"/>
      <c r="P601" s="74"/>
      <c r="Q601" s="74"/>
      <c r="R601" s="74"/>
      <c r="S601" s="74"/>
      <c r="T601" s="74"/>
      <c r="U601" s="74"/>
      <c r="V601" s="74"/>
      <c r="W601" s="74"/>
      <c r="X601" s="74"/>
      <c r="Y601" s="74"/>
      <c r="Z601" s="74"/>
    </row>
    <row r="602" spans="1:26" ht="14.4" x14ac:dyDescent="0.3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74"/>
      <c r="V602" s="74"/>
      <c r="W602" s="74"/>
      <c r="X602" s="74"/>
      <c r="Y602" s="74"/>
      <c r="Z602" s="74"/>
    </row>
    <row r="603" spans="1:26" ht="14.4" x14ac:dyDescent="0.3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4"/>
      <c r="L603" s="74"/>
      <c r="M603" s="74"/>
      <c r="N603" s="74"/>
      <c r="O603" s="74"/>
      <c r="P603" s="74"/>
      <c r="Q603" s="74"/>
      <c r="R603" s="74"/>
      <c r="S603" s="74"/>
      <c r="T603" s="74"/>
      <c r="U603" s="74"/>
      <c r="V603" s="74"/>
      <c r="W603" s="74"/>
      <c r="X603" s="74"/>
      <c r="Y603" s="74"/>
      <c r="Z603" s="74"/>
    </row>
    <row r="604" spans="1:26" ht="14.4" x14ac:dyDescent="0.3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4"/>
      <c r="L604" s="74"/>
      <c r="M604" s="74"/>
      <c r="N604" s="74"/>
      <c r="O604" s="74"/>
      <c r="P604" s="74"/>
      <c r="Q604" s="74"/>
      <c r="R604" s="74"/>
      <c r="S604" s="74"/>
      <c r="T604" s="74"/>
      <c r="U604" s="74"/>
      <c r="V604" s="74"/>
      <c r="W604" s="74"/>
      <c r="X604" s="74"/>
      <c r="Y604" s="74"/>
      <c r="Z604" s="74"/>
    </row>
    <row r="605" spans="1:26" ht="14.4" x14ac:dyDescent="0.3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74"/>
      <c r="V605" s="74"/>
      <c r="W605" s="74"/>
      <c r="X605" s="74"/>
      <c r="Y605" s="74"/>
      <c r="Z605" s="74"/>
    </row>
    <row r="606" spans="1:26" ht="14.4" x14ac:dyDescent="0.3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4"/>
      <c r="L606" s="74"/>
      <c r="M606" s="74"/>
      <c r="N606" s="74"/>
      <c r="O606" s="74"/>
      <c r="P606" s="74"/>
      <c r="Q606" s="74"/>
      <c r="R606" s="74"/>
      <c r="S606" s="74"/>
      <c r="T606" s="74"/>
      <c r="U606" s="74"/>
      <c r="V606" s="74"/>
      <c r="W606" s="74"/>
      <c r="X606" s="74"/>
      <c r="Y606" s="74"/>
      <c r="Z606" s="74"/>
    </row>
    <row r="607" spans="1:26" ht="14.4" x14ac:dyDescent="0.3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4"/>
      <c r="L607" s="74"/>
      <c r="M607" s="74"/>
      <c r="N607" s="74"/>
      <c r="O607" s="74"/>
      <c r="P607" s="74"/>
      <c r="Q607" s="74"/>
      <c r="R607" s="74"/>
      <c r="S607" s="74"/>
      <c r="T607" s="74"/>
      <c r="U607" s="74"/>
      <c r="V607" s="74"/>
      <c r="W607" s="74"/>
      <c r="X607" s="74"/>
      <c r="Y607" s="74"/>
      <c r="Z607" s="74"/>
    </row>
    <row r="608" spans="1:26" ht="14.4" x14ac:dyDescent="0.3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4"/>
      <c r="L608" s="74"/>
      <c r="M608" s="74"/>
      <c r="N608" s="74"/>
      <c r="O608" s="74"/>
      <c r="P608" s="74"/>
      <c r="Q608" s="74"/>
      <c r="R608" s="74"/>
      <c r="S608" s="74"/>
      <c r="T608" s="74"/>
      <c r="U608" s="74"/>
      <c r="V608" s="74"/>
      <c r="W608" s="74"/>
      <c r="X608" s="74"/>
      <c r="Y608" s="74"/>
      <c r="Z608" s="74"/>
    </row>
    <row r="609" spans="1:26" ht="14.4" x14ac:dyDescent="0.3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  <c r="Z609" s="74"/>
    </row>
    <row r="610" spans="1:26" ht="14.4" x14ac:dyDescent="0.3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4"/>
      <c r="L610" s="74"/>
      <c r="M610" s="74"/>
      <c r="N610" s="74"/>
      <c r="O610" s="74"/>
      <c r="P610" s="74"/>
      <c r="Q610" s="74"/>
      <c r="R610" s="74"/>
      <c r="S610" s="74"/>
      <c r="T610" s="74"/>
      <c r="U610" s="74"/>
      <c r="V610" s="74"/>
      <c r="W610" s="74"/>
      <c r="X610" s="74"/>
      <c r="Y610" s="74"/>
      <c r="Z610" s="74"/>
    </row>
    <row r="611" spans="1:26" ht="14.4" x14ac:dyDescent="0.3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4"/>
      <c r="L611" s="74"/>
      <c r="M611" s="74"/>
      <c r="N611" s="74"/>
      <c r="O611" s="74"/>
      <c r="P611" s="74"/>
      <c r="Q611" s="74"/>
      <c r="R611" s="74"/>
      <c r="S611" s="74"/>
      <c r="T611" s="74"/>
      <c r="U611" s="74"/>
      <c r="V611" s="74"/>
      <c r="W611" s="74"/>
      <c r="X611" s="74"/>
      <c r="Y611" s="74"/>
      <c r="Z611" s="74"/>
    </row>
    <row r="612" spans="1:26" ht="14.4" x14ac:dyDescent="0.3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4"/>
      <c r="L612" s="74"/>
      <c r="M612" s="74"/>
      <c r="N612" s="74"/>
      <c r="O612" s="74"/>
      <c r="P612" s="74"/>
      <c r="Q612" s="74"/>
      <c r="R612" s="74"/>
      <c r="S612" s="74"/>
      <c r="T612" s="74"/>
      <c r="U612" s="74"/>
      <c r="V612" s="74"/>
      <c r="W612" s="74"/>
      <c r="X612" s="74"/>
      <c r="Y612" s="74"/>
      <c r="Z612" s="74"/>
    </row>
    <row r="613" spans="1:26" ht="14.4" x14ac:dyDescent="0.3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4"/>
      <c r="L613" s="74"/>
      <c r="M613" s="74"/>
      <c r="N613" s="74"/>
      <c r="O613" s="74"/>
      <c r="P613" s="74"/>
      <c r="Q613" s="74"/>
      <c r="R613" s="74"/>
      <c r="S613" s="74"/>
      <c r="T613" s="74"/>
      <c r="U613" s="74"/>
      <c r="V613" s="74"/>
      <c r="W613" s="74"/>
      <c r="X613" s="74"/>
      <c r="Y613" s="74"/>
      <c r="Z613" s="74"/>
    </row>
    <row r="614" spans="1:26" ht="14.4" x14ac:dyDescent="0.3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4"/>
      <c r="L614" s="74"/>
      <c r="M614" s="74"/>
      <c r="N614" s="74"/>
      <c r="O614" s="74"/>
      <c r="P614" s="74"/>
      <c r="Q614" s="74"/>
      <c r="R614" s="74"/>
      <c r="S614" s="74"/>
      <c r="T614" s="74"/>
      <c r="U614" s="74"/>
      <c r="V614" s="74"/>
      <c r="W614" s="74"/>
      <c r="X614" s="74"/>
      <c r="Y614" s="74"/>
      <c r="Z614" s="74"/>
    </row>
    <row r="615" spans="1:26" ht="14.4" x14ac:dyDescent="0.3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4"/>
      <c r="L615" s="74"/>
      <c r="M615" s="74"/>
      <c r="N615" s="74"/>
      <c r="O615" s="74"/>
      <c r="P615" s="74"/>
      <c r="Q615" s="74"/>
      <c r="R615" s="74"/>
      <c r="S615" s="74"/>
      <c r="T615" s="74"/>
      <c r="U615" s="74"/>
      <c r="V615" s="74"/>
      <c r="W615" s="74"/>
      <c r="X615" s="74"/>
      <c r="Y615" s="74"/>
      <c r="Z615" s="74"/>
    </row>
    <row r="616" spans="1:26" ht="14.4" x14ac:dyDescent="0.3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4"/>
      <c r="L616" s="74"/>
      <c r="M616" s="74"/>
      <c r="N616" s="74"/>
      <c r="O616" s="74"/>
      <c r="P616" s="74"/>
      <c r="Q616" s="74"/>
      <c r="R616" s="74"/>
      <c r="S616" s="74"/>
      <c r="T616" s="74"/>
      <c r="U616" s="74"/>
      <c r="V616" s="74"/>
      <c r="W616" s="74"/>
      <c r="X616" s="74"/>
      <c r="Y616" s="74"/>
      <c r="Z616" s="74"/>
    </row>
    <row r="617" spans="1:26" ht="14.4" x14ac:dyDescent="0.3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4"/>
      <c r="L617" s="74"/>
      <c r="M617" s="74"/>
      <c r="N617" s="74"/>
      <c r="O617" s="74"/>
      <c r="P617" s="74"/>
      <c r="Q617" s="74"/>
      <c r="R617" s="74"/>
      <c r="S617" s="74"/>
      <c r="T617" s="74"/>
      <c r="U617" s="74"/>
      <c r="V617" s="74"/>
      <c r="W617" s="74"/>
      <c r="X617" s="74"/>
      <c r="Y617" s="74"/>
      <c r="Z617" s="74"/>
    </row>
    <row r="618" spans="1:26" ht="14.4" x14ac:dyDescent="0.3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4"/>
      <c r="L618" s="74"/>
      <c r="M618" s="74"/>
      <c r="N618" s="74"/>
      <c r="O618" s="74"/>
      <c r="P618" s="74"/>
      <c r="Q618" s="74"/>
      <c r="R618" s="74"/>
      <c r="S618" s="74"/>
      <c r="T618" s="74"/>
      <c r="U618" s="74"/>
      <c r="V618" s="74"/>
      <c r="W618" s="74"/>
      <c r="X618" s="74"/>
      <c r="Y618" s="74"/>
      <c r="Z618" s="74"/>
    </row>
    <row r="619" spans="1:26" ht="14.4" x14ac:dyDescent="0.3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4"/>
      <c r="L619" s="74"/>
      <c r="M619" s="74"/>
      <c r="N619" s="74"/>
      <c r="O619" s="74"/>
      <c r="P619" s="74"/>
      <c r="Q619" s="74"/>
      <c r="R619" s="74"/>
      <c r="S619" s="74"/>
      <c r="T619" s="74"/>
      <c r="U619" s="74"/>
      <c r="V619" s="74"/>
      <c r="W619" s="74"/>
      <c r="X619" s="74"/>
      <c r="Y619" s="74"/>
      <c r="Z619" s="74"/>
    </row>
    <row r="620" spans="1:26" ht="14.4" x14ac:dyDescent="0.3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4"/>
      <c r="L620" s="74"/>
      <c r="M620" s="74"/>
      <c r="N620" s="74"/>
      <c r="O620" s="74"/>
      <c r="P620" s="74"/>
      <c r="Q620" s="74"/>
      <c r="R620" s="74"/>
      <c r="S620" s="74"/>
      <c r="T620" s="74"/>
      <c r="U620" s="74"/>
      <c r="V620" s="74"/>
      <c r="W620" s="74"/>
      <c r="X620" s="74"/>
      <c r="Y620" s="74"/>
      <c r="Z620" s="74"/>
    </row>
    <row r="621" spans="1:26" ht="14.4" x14ac:dyDescent="0.3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4"/>
      <c r="L621" s="74"/>
      <c r="M621" s="74"/>
      <c r="N621" s="74"/>
      <c r="O621" s="74"/>
      <c r="P621" s="74"/>
      <c r="Q621" s="74"/>
      <c r="R621" s="74"/>
      <c r="S621" s="74"/>
      <c r="T621" s="74"/>
      <c r="U621" s="74"/>
      <c r="V621" s="74"/>
      <c r="W621" s="74"/>
      <c r="X621" s="74"/>
      <c r="Y621" s="74"/>
      <c r="Z621" s="74"/>
    </row>
    <row r="622" spans="1:26" ht="14.4" x14ac:dyDescent="0.3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4"/>
      <c r="L622" s="74"/>
      <c r="M622" s="74"/>
      <c r="N622" s="74"/>
      <c r="O622" s="74"/>
      <c r="P622" s="74"/>
      <c r="Q622" s="74"/>
      <c r="R622" s="74"/>
      <c r="S622" s="74"/>
      <c r="T622" s="74"/>
      <c r="U622" s="74"/>
      <c r="V622" s="74"/>
      <c r="W622" s="74"/>
      <c r="X622" s="74"/>
      <c r="Y622" s="74"/>
      <c r="Z622" s="74"/>
    </row>
    <row r="623" spans="1:26" ht="14.4" x14ac:dyDescent="0.3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4"/>
      <c r="L623" s="74"/>
      <c r="M623" s="74"/>
      <c r="N623" s="74"/>
      <c r="O623" s="74"/>
      <c r="P623" s="74"/>
      <c r="Q623" s="74"/>
      <c r="R623" s="74"/>
      <c r="S623" s="74"/>
      <c r="T623" s="74"/>
      <c r="U623" s="74"/>
      <c r="V623" s="74"/>
      <c r="W623" s="74"/>
      <c r="X623" s="74"/>
      <c r="Y623" s="74"/>
      <c r="Z623" s="74"/>
    </row>
    <row r="624" spans="1:26" ht="14.4" x14ac:dyDescent="0.3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4"/>
      <c r="L624" s="74"/>
      <c r="M624" s="74"/>
      <c r="N624" s="74"/>
      <c r="O624" s="74"/>
      <c r="P624" s="74"/>
      <c r="Q624" s="74"/>
      <c r="R624" s="74"/>
      <c r="S624" s="74"/>
      <c r="T624" s="74"/>
      <c r="U624" s="74"/>
      <c r="V624" s="74"/>
      <c r="W624" s="74"/>
      <c r="X624" s="74"/>
      <c r="Y624" s="74"/>
      <c r="Z624" s="74"/>
    </row>
    <row r="625" spans="1:26" ht="14.4" x14ac:dyDescent="0.3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4"/>
      <c r="L625" s="74"/>
      <c r="M625" s="74"/>
      <c r="N625" s="74"/>
      <c r="O625" s="74"/>
      <c r="P625" s="74"/>
      <c r="Q625" s="74"/>
      <c r="R625" s="74"/>
      <c r="S625" s="74"/>
      <c r="T625" s="74"/>
      <c r="U625" s="74"/>
      <c r="V625" s="74"/>
      <c r="W625" s="74"/>
      <c r="X625" s="74"/>
      <c r="Y625" s="74"/>
      <c r="Z625" s="74"/>
    </row>
    <row r="626" spans="1:26" ht="14.4" x14ac:dyDescent="0.3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4"/>
      <c r="L626" s="74"/>
      <c r="M626" s="74"/>
      <c r="N626" s="74"/>
      <c r="O626" s="74"/>
      <c r="P626" s="74"/>
      <c r="Q626" s="74"/>
      <c r="R626" s="74"/>
      <c r="S626" s="74"/>
      <c r="T626" s="74"/>
      <c r="U626" s="74"/>
      <c r="V626" s="74"/>
      <c r="W626" s="74"/>
      <c r="X626" s="74"/>
      <c r="Y626" s="74"/>
      <c r="Z626" s="74"/>
    </row>
    <row r="627" spans="1:26" ht="14.4" x14ac:dyDescent="0.3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4"/>
      <c r="L627" s="74"/>
      <c r="M627" s="74"/>
      <c r="N627" s="74"/>
      <c r="O627" s="74"/>
      <c r="P627" s="74"/>
      <c r="Q627" s="74"/>
      <c r="R627" s="74"/>
      <c r="S627" s="74"/>
      <c r="T627" s="74"/>
      <c r="U627" s="74"/>
      <c r="V627" s="74"/>
      <c r="W627" s="74"/>
      <c r="X627" s="74"/>
      <c r="Y627" s="74"/>
      <c r="Z627" s="74"/>
    </row>
    <row r="628" spans="1:26" ht="14.4" x14ac:dyDescent="0.3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4"/>
      <c r="L628" s="74"/>
      <c r="M628" s="74"/>
      <c r="N628" s="74"/>
      <c r="O628" s="74"/>
      <c r="P628" s="74"/>
      <c r="Q628" s="74"/>
      <c r="R628" s="74"/>
      <c r="S628" s="74"/>
      <c r="T628" s="74"/>
      <c r="U628" s="74"/>
      <c r="V628" s="74"/>
      <c r="W628" s="74"/>
      <c r="X628" s="74"/>
      <c r="Y628" s="74"/>
      <c r="Z628" s="74"/>
    </row>
    <row r="629" spans="1:26" ht="14.4" x14ac:dyDescent="0.3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4"/>
      <c r="L629" s="74"/>
      <c r="M629" s="74"/>
      <c r="N629" s="74"/>
      <c r="O629" s="74"/>
      <c r="P629" s="74"/>
      <c r="Q629" s="74"/>
      <c r="R629" s="74"/>
      <c r="S629" s="74"/>
      <c r="T629" s="74"/>
      <c r="U629" s="74"/>
      <c r="V629" s="74"/>
      <c r="W629" s="74"/>
      <c r="X629" s="74"/>
      <c r="Y629" s="74"/>
      <c r="Z629" s="74"/>
    </row>
    <row r="630" spans="1:26" ht="14.4" x14ac:dyDescent="0.3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4"/>
      <c r="L630" s="74"/>
      <c r="M630" s="74"/>
      <c r="N630" s="74"/>
      <c r="O630" s="74"/>
      <c r="P630" s="74"/>
      <c r="Q630" s="74"/>
      <c r="R630" s="74"/>
      <c r="S630" s="74"/>
      <c r="T630" s="74"/>
      <c r="U630" s="74"/>
      <c r="V630" s="74"/>
      <c r="W630" s="74"/>
      <c r="X630" s="74"/>
      <c r="Y630" s="74"/>
      <c r="Z630" s="74"/>
    </row>
    <row r="631" spans="1:26" ht="14.4" x14ac:dyDescent="0.3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4"/>
      <c r="L631" s="74"/>
      <c r="M631" s="74"/>
      <c r="N631" s="74"/>
      <c r="O631" s="74"/>
      <c r="P631" s="74"/>
      <c r="Q631" s="74"/>
      <c r="R631" s="74"/>
      <c r="S631" s="74"/>
      <c r="T631" s="74"/>
      <c r="U631" s="74"/>
      <c r="V631" s="74"/>
      <c r="W631" s="74"/>
      <c r="X631" s="74"/>
      <c r="Y631" s="74"/>
      <c r="Z631" s="74"/>
    </row>
    <row r="632" spans="1:26" ht="14.4" x14ac:dyDescent="0.3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4"/>
      <c r="L632" s="74"/>
      <c r="M632" s="74"/>
      <c r="N632" s="74"/>
      <c r="O632" s="74"/>
      <c r="P632" s="74"/>
      <c r="Q632" s="74"/>
      <c r="R632" s="74"/>
      <c r="S632" s="74"/>
      <c r="T632" s="74"/>
      <c r="U632" s="74"/>
      <c r="V632" s="74"/>
      <c r="W632" s="74"/>
      <c r="X632" s="74"/>
      <c r="Y632" s="74"/>
      <c r="Z632" s="74"/>
    </row>
    <row r="633" spans="1:26" ht="14.4" x14ac:dyDescent="0.3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4"/>
      <c r="L633" s="74"/>
      <c r="M633" s="74"/>
      <c r="N633" s="74"/>
      <c r="O633" s="74"/>
      <c r="P633" s="74"/>
      <c r="Q633" s="74"/>
      <c r="R633" s="74"/>
      <c r="S633" s="74"/>
      <c r="T633" s="74"/>
      <c r="U633" s="74"/>
      <c r="V633" s="74"/>
      <c r="W633" s="74"/>
      <c r="X633" s="74"/>
      <c r="Y633" s="74"/>
      <c r="Z633" s="74"/>
    </row>
    <row r="634" spans="1:26" ht="14.4" x14ac:dyDescent="0.3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4"/>
      <c r="L634" s="74"/>
      <c r="M634" s="74"/>
      <c r="N634" s="74"/>
      <c r="O634" s="74"/>
      <c r="P634" s="74"/>
      <c r="Q634" s="74"/>
      <c r="R634" s="74"/>
      <c r="S634" s="74"/>
      <c r="T634" s="74"/>
      <c r="U634" s="74"/>
      <c r="V634" s="74"/>
      <c r="W634" s="74"/>
      <c r="X634" s="74"/>
      <c r="Y634" s="74"/>
      <c r="Z634" s="74"/>
    </row>
    <row r="635" spans="1:26" ht="14.4" x14ac:dyDescent="0.3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  <c r="Z635" s="74"/>
    </row>
    <row r="636" spans="1:26" ht="14.4" x14ac:dyDescent="0.3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4"/>
      <c r="L636" s="74"/>
      <c r="M636" s="74"/>
      <c r="N636" s="74"/>
      <c r="O636" s="74"/>
      <c r="P636" s="74"/>
      <c r="Q636" s="74"/>
      <c r="R636" s="74"/>
      <c r="S636" s="74"/>
      <c r="T636" s="74"/>
      <c r="U636" s="74"/>
      <c r="V636" s="74"/>
      <c r="W636" s="74"/>
      <c r="X636" s="74"/>
      <c r="Y636" s="74"/>
      <c r="Z636" s="74"/>
    </row>
    <row r="637" spans="1:26" ht="14.4" x14ac:dyDescent="0.3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4"/>
      <c r="L637" s="74"/>
      <c r="M637" s="74"/>
      <c r="N637" s="74"/>
      <c r="O637" s="74"/>
      <c r="P637" s="74"/>
      <c r="Q637" s="74"/>
      <c r="R637" s="74"/>
      <c r="S637" s="74"/>
      <c r="T637" s="74"/>
      <c r="U637" s="74"/>
      <c r="V637" s="74"/>
      <c r="W637" s="74"/>
      <c r="X637" s="74"/>
      <c r="Y637" s="74"/>
      <c r="Z637" s="74"/>
    </row>
    <row r="638" spans="1:26" ht="14.4" x14ac:dyDescent="0.3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4"/>
      <c r="L638" s="74"/>
      <c r="M638" s="74"/>
      <c r="N638" s="74"/>
      <c r="O638" s="74"/>
      <c r="P638" s="74"/>
      <c r="Q638" s="74"/>
      <c r="R638" s="74"/>
      <c r="S638" s="74"/>
      <c r="T638" s="74"/>
      <c r="U638" s="74"/>
      <c r="V638" s="74"/>
      <c r="W638" s="74"/>
      <c r="X638" s="74"/>
      <c r="Y638" s="74"/>
      <c r="Z638" s="74"/>
    </row>
    <row r="639" spans="1:26" ht="14.4" x14ac:dyDescent="0.3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4"/>
      <c r="L639" s="74"/>
      <c r="M639" s="74"/>
      <c r="N639" s="74"/>
      <c r="O639" s="74"/>
      <c r="P639" s="74"/>
      <c r="Q639" s="74"/>
      <c r="R639" s="74"/>
      <c r="S639" s="74"/>
      <c r="T639" s="74"/>
      <c r="U639" s="74"/>
      <c r="V639" s="74"/>
      <c r="W639" s="74"/>
      <c r="X639" s="74"/>
      <c r="Y639" s="74"/>
      <c r="Z639" s="74"/>
    </row>
    <row r="640" spans="1:26" ht="14.4" x14ac:dyDescent="0.3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4"/>
      <c r="L640" s="74"/>
      <c r="M640" s="74"/>
      <c r="N640" s="74"/>
      <c r="O640" s="74"/>
      <c r="P640" s="74"/>
      <c r="Q640" s="74"/>
      <c r="R640" s="74"/>
      <c r="S640" s="74"/>
      <c r="T640" s="74"/>
      <c r="U640" s="74"/>
      <c r="V640" s="74"/>
      <c r="W640" s="74"/>
      <c r="X640" s="74"/>
      <c r="Y640" s="74"/>
      <c r="Z640" s="74"/>
    </row>
    <row r="641" spans="1:26" ht="14.4" x14ac:dyDescent="0.3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4"/>
      <c r="L641" s="74"/>
      <c r="M641" s="74"/>
      <c r="N641" s="74"/>
      <c r="O641" s="74"/>
      <c r="P641" s="74"/>
      <c r="Q641" s="74"/>
      <c r="R641" s="74"/>
      <c r="S641" s="74"/>
      <c r="T641" s="74"/>
      <c r="U641" s="74"/>
      <c r="V641" s="74"/>
      <c r="W641" s="74"/>
      <c r="X641" s="74"/>
      <c r="Y641" s="74"/>
      <c r="Z641" s="74"/>
    </row>
    <row r="642" spans="1:26" ht="14.4" x14ac:dyDescent="0.3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4"/>
      <c r="L642" s="74"/>
      <c r="M642" s="74"/>
      <c r="N642" s="74"/>
      <c r="O642" s="74"/>
      <c r="P642" s="74"/>
      <c r="Q642" s="74"/>
      <c r="R642" s="74"/>
      <c r="S642" s="74"/>
      <c r="T642" s="74"/>
      <c r="U642" s="74"/>
      <c r="V642" s="74"/>
      <c r="W642" s="74"/>
      <c r="X642" s="74"/>
      <c r="Y642" s="74"/>
      <c r="Z642" s="74"/>
    </row>
    <row r="643" spans="1:26" ht="14.4" x14ac:dyDescent="0.3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4"/>
      <c r="L643" s="74"/>
      <c r="M643" s="74"/>
      <c r="N643" s="74"/>
      <c r="O643" s="74"/>
      <c r="P643" s="74"/>
      <c r="Q643" s="74"/>
      <c r="R643" s="74"/>
      <c r="S643" s="74"/>
      <c r="T643" s="74"/>
      <c r="U643" s="74"/>
      <c r="V643" s="74"/>
      <c r="W643" s="74"/>
      <c r="X643" s="74"/>
      <c r="Y643" s="74"/>
      <c r="Z643" s="74"/>
    </row>
    <row r="644" spans="1:26" ht="14.4" x14ac:dyDescent="0.3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4"/>
      <c r="L644" s="74"/>
      <c r="M644" s="74"/>
      <c r="N644" s="74"/>
      <c r="O644" s="74"/>
      <c r="P644" s="74"/>
      <c r="Q644" s="74"/>
      <c r="R644" s="74"/>
      <c r="S644" s="74"/>
      <c r="T644" s="74"/>
      <c r="U644" s="74"/>
      <c r="V644" s="74"/>
      <c r="W644" s="74"/>
      <c r="X644" s="74"/>
      <c r="Y644" s="74"/>
      <c r="Z644" s="74"/>
    </row>
    <row r="645" spans="1:26" ht="14.4" x14ac:dyDescent="0.3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4"/>
      <c r="L645" s="74"/>
      <c r="M645" s="74"/>
      <c r="N645" s="74"/>
      <c r="O645" s="74"/>
      <c r="P645" s="74"/>
      <c r="Q645" s="74"/>
      <c r="R645" s="74"/>
      <c r="S645" s="74"/>
      <c r="T645" s="74"/>
      <c r="U645" s="74"/>
      <c r="V645" s="74"/>
      <c r="W645" s="74"/>
      <c r="X645" s="74"/>
      <c r="Y645" s="74"/>
      <c r="Z645" s="74"/>
    </row>
    <row r="646" spans="1:26" ht="14.4" x14ac:dyDescent="0.3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4"/>
      <c r="L646" s="74"/>
      <c r="M646" s="74"/>
      <c r="N646" s="74"/>
      <c r="O646" s="74"/>
      <c r="P646" s="74"/>
      <c r="Q646" s="74"/>
      <c r="R646" s="74"/>
      <c r="S646" s="74"/>
      <c r="T646" s="74"/>
      <c r="U646" s="74"/>
      <c r="V646" s="74"/>
      <c r="W646" s="74"/>
      <c r="X646" s="74"/>
      <c r="Y646" s="74"/>
      <c r="Z646" s="74"/>
    </row>
    <row r="647" spans="1:26" ht="14.4" x14ac:dyDescent="0.3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4"/>
      <c r="L647" s="74"/>
      <c r="M647" s="74"/>
      <c r="N647" s="74"/>
      <c r="O647" s="74"/>
      <c r="P647" s="74"/>
      <c r="Q647" s="74"/>
      <c r="R647" s="74"/>
      <c r="S647" s="74"/>
      <c r="T647" s="74"/>
      <c r="U647" s="74"/>
      <c r="V647" s="74"/>
      <c r="W647" s="74"/>
      <c r="X647" s="74"/>
      <c r="Y647" s="74"/>
      <c r="Z647" s="74"/>
    </row>
    <row r="648" spans="1:26" ht="14.4" x14ac:dyDescent="0.3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4"/>
      <c r="L648" s="74"/>
      <c r="M648" s="74"/>
      <c r="N648" s="74"/>
      <c r="O648" s="74"/>
      <c r="P648" s="74"/>
      <c r="Q648" s="74"/>
      <c r="R648" s="74"/>
      <c r="S648" s="74"/>
      <c r="T648" s="74"/>
      <c r="U648" s="74"/>
      <c r="V648" s="74"/>
      <c r="W648" s="74"/>
      <c r="X648" s="74"/>
      <c r="Y648" s="74"/>
      <c r="Z648" s="74"/>
    </row>
    <row r="649" spans="1:26" ht="14.4" x14ac:dyDescent="0.3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4"/>
      <c r="L649" s="74"/>
      <c r="M649" s="74"/>
      <c r="N649" s="74"/>
      <c r="O649" s="74"/>
      <c r="P649" s="74"/>
      <c r="Q649" s="74"/>
      <c r="R649" s="74"/>
      <c r="S649" s="74"/>
      <c r="T649" s="74"/>
      <c r="U649" s="74"/>
      <c r="V649" s="74"/>
      <c r="W649" s="74"/>
      <c r="X649" s="74"/>
      <c r="Y649" s="74"/>
      <c r="Z649" s="74"/>
    </row>
    <row r="650" spans="1:26" ht="14.4" x14ac:dyDescent="0.3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4"/>
      <c r="L650" s="74"/>
      <c r="M650" s="74"/>
      <c r="N650" s="74"/>
      <c r="O650" s="74"/>
      <c r="P650" s="74"/>
      <c r="Q650" s="74"/>
      <c r="R650" s="74"/>
      <c r="S650" s="74"/>
      <c r="T650" s="74"/>
      <c r="U650" s="74"/>
      <c r="V650" s="74"/>
      <c r="W650" s="74"/>
      <c r="X650" s="74"/>
      <c r="Y650" s="74"/>
      <c r="Z650" s="74"/>
    </row>
    <row r="651" spans="1:26" ht="14.4" x14ac:dyDescent="0.3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4"/>
      <c r="L651" s="74"/>
      <c r="M651" s="74"/>
      <c r="N651" s="74"/>
      <c r="O651" s="74"/>
      <c r="P651" s="74"/>
      <c r="Q651" s="74"/>
      <c r="R651" s="74"/>
      <c r="S651" s="74"/>
      <c r="T651" s="74"/>
      <c r="U651" s="74"/>
      <c r="V651" s="74"/>
      <c r="W651" s="74"/>
      <c r="X651" s="74"/>
      <c r="Y651" s="74"/>
      <c r="Z651" s="74"/>
    </row>
    <row r="652" spans="1:26" ht="14.4" x14ac:dyDescent="0.3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4"/>
      <c r="L652" s="74"/>
      <c r="M652" s="74"/>
      <c r="N652" s="74"/>
      <c r="O652" s="74"/>
      <c r="P652" s="74"/>
      <c r="Q652" s="74"/>
      <c r="R652" s="74"/>
      <c r="S652" s="74"/>
      <c r="T652" s="74"/>
      <c r="U652" s="74"/>
      <c r="V652" s="74"/>
      <c r="W652" s="74"/>
      <c r="X652" s="74"/>
      <c r="Y652" s="74"/>
      <c r="Z652" s="74"/>
    </row>
    <row r="653" spans="1:26" ht="14.4" x14ac:dyDescent="0.3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4"/>
      <c r="L653" s="74"/>
      <c r="M653" s="74"/>
      <c r="N653" s="74"/>
      <c r="O653" s="74"/>
      <c r="P653" s="74"/>
      <c r="Q653" s="74"/>
      <c r="R653" s="74"/>
      <c r="S653" s="74"/>
      <c r="T653" s="74"/>
      <c r="U653" s="74"/>
      <c r="V653" s="74"/>
      <c r="W653" s="74"/>
      <c r="X653" s="74"/>
      <c r="Y653" s="74"/>
      <c r="Z653" s="74"/>
    </row>
    <row r="654" spans="1:26" ht="14.4" x14ac:dyDescent="0.3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4"/>
      <c r="L654" s="74"/>
      <c r="M654" s="74"/>
      <c r="N654" s="74"/>
      <c r="O654" s="74"/>
      <c r="P654" s="74"/>
      <c r="Q654" s="74"/>
      <c r="R654" s="74"/>
      <c r="S654" s="74"/>
      <c r="T654" s="74"/>
      <c r="U654" s="74"/>
      <c r="V654" s="74"/>
      <c r="W654" s="74"/>
      <c r="X654" s="74"/>
      <c r="Y654" s="74"/>
      <c r="Z654" s="74"/>
    </row>
    <row r="655" spans="1:26" ht="14.4" x14ac:dyDescent="0.3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4"/>
      <c r="L655" s="74"/>
      <c r="M655" s="74"/>
      <c r="N655" s="74"/>
      <c r="O655" s="74"/>
      <c r="P655" s="74"/>
      <c r="Q655" s="74"/>
      <c r="R655" s="74"/>
      <c r="S655" s="74"/>
      <c r="T655" s="74"/>
      <c r="U655" s="74"/>
      <c r="V655" s="74"/>
      <c r="W655" s="74"/>
      <c r="X655" s="74"/>
      <c r="Y655" s="74"/>
      <c r="Z655" s="74"/>
    </row>
    <row r="656" spans="1:26" ht="14.4" x14ac:dyDescent="0.3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4"/>
      <c r="L656" s="74"/>
      <c r="M656" s="74"/>
      <c r="N656" s="74"/>
      <c r="O656" s="74"/>
      <c r="P656" s="74"/>
      <c r="Q656" s="74"/>
      <c r="R656" s="74"/>
      <c r="S656" s="74"/>
      <c r="T656" s="74"/>
      <c r="U656" s="74"/>
      <c r="V656" s="74"/>
      <c r="W656" s="74"/>
      <c r="X656" s="74"/>
      <c r="Y656" s="74"/>
      <c r="Z656" s="74"/>
    </row>
    <row r="657" spans="1:26" ht="14.4" x14ac:dyDescent="0.3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</row>
    <row r="658" spans="1:26" ht="14.4" x14ac:dyDescent="0.3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4"/>
      <c r="L658" s="74"/>
      <c r="M658" s="74"/>
      <c r="N658" s="74"/>
      <c r="O658" s="74"/>
      <c r="P658" s="74"/>
      <c r="Q658" s="74"/>
      <c r="R658" s="74"/>
      <c r="S658" s="74"/>
      <c r="T658" s="74"/>
      <c r="U658" s="74"/>
      <c r="V658" s="74"/>
      <c r="W658" s="74"/>
      <c r="X658" s="74"/>
      <c r="Y658" s="74"/>
      <c r="Z658" s="74"/>
    </row>
    <row r="659" spans="1:26" ht="14.4" x14ac:dyDescent="0.3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4"/>
      <c r="L659" s="74"/>
      <c r="M659" s="74"/>
      <c r="N659" s="74"/>
      <c r="O659" s="74"/>
      <c r="P659" s="74"/>
      <c r="Q659" s="74"/>
      <c r="R659" s="74"/>
      <c r="S659" s="74"/>
      <c r="T659" s="74"/>
      <c r="U659" s="74"/>
      <c r="V659" s="74"/>
      <c r="W659" s="74"/>
      <c r="X659" s="74"/>
      <c r="Y659" s="74"/>
      <c r="Z659" s="74"/>
    </row>
    <row r="660" spans="1:26" ht="14.4" x14ac:dyDescent="0.3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4"/>
      <c r="L660" s="74"/>
      <c r="M660" s="74"/>
      <c r="N660" s="74"/>
      <c r="O660" s="74"/>
      <c r="P660" s="74"/>
      <c r="Q660" s="74"/>
      <c r="R660" s="74"/>
      <c r="S660" s="74"/>
      <c r="T660" s="74"/>
      <c r="U660" s="74"/>
      <c r="V660" s="74"/>
      <c r="W660" s="74"/>
      <c r="X660" s="74"/>
      <c r="Y660" s="74"/>
      <c r="Z660" s="74"/>
    </row>
    <row r="661" spans="1:26" ht="14.4" x14ac:dyDescent="0.3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4"/>
      <c r="L661" s="74"/>
      <c r="M661" s="74"/>
      <c r="N661" s="74"/>
      <c r="O661" s="74"/>
      <c r="P661" s="74"/>
      <c r="Q661" s="74"/>
      <c r="R661" s="74"/>
      <c r="S661" s="74"/>
      <c r="T661" s="74"/>
      <c r="U661" s="74"/>
      <c r="V661" s="74"/>
      <c r="W661" s="74"/>
      <c r="X661" s="74"/>
      <c r="Y661" s="74"/>
      <c r="Z661" s="74"/>
    </row>
    <row r="662" spans="1:26" ht="14.4" x14ac:dyDescent="0.3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4"/>
      <c r="L662" s="74"/>
      <c r="M662" s="74"/>
      <c r="N662" s="74"/>
      <c r="O662" s="74"/>
      <c r="P662" s="74"/>
      <c r="Q662" s="74"/>
      <c r="R662" s="74"/>
      <c r="S662" s="74"/>
      <c r="T662" s="74"/>
      <c r="U662" s="74"/>
      <c r="V662" s="74"/>
      <c r="W662" s="74"/>
      <c r="X662" s="74"/>
      <c r="Y662" s="74"/>
      <c r="Z662" s="74"/>
    </row>
    <row r="663" spans="1:26" ht="14.4" x14ac:dyDescent="0.3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4"/>
      <c r="L663" s="74"/>
      <c r="M663" s="74"/>
      <c r="N663" s="74"/>
      <c r="O663" s="74"/>
      <c r="P663" s="74"/>
      <c r="Q663" s="74"/>
      <c r="R663" s="74"/>
      <c r="S663" s="74"/>
      <c r="T663" s="74"/>
      <c r="U663" s="74"/>
      <c r="V663" s="74"/>
      <c r="W663" s="74"/>
      <c r="X663" s="74"/>
      <c r="Y663" s="74"/>
      <c r="Z663" s="74"/>
    </row>
    <row r="664" spans="1:26" ht="14.4" x14ac:dyDescent="0.3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4"/>
      <c r="L664" s="74"/>
      <c r="M664" s="74"/>
      <c r="N664" s="74"/>
      <c r="O664" s="74"/>
      <c r="P664" s="74"/>
      <c r="Q664" s="74"/>
      <c r="R664" s="74"/>
      <c r="S664" s="74"/>
      <c r="T664" s="74"/>
      <c r="U664" s="74"/>
      <c r="V664" s="74"/>
      <c r="W664" s="74"/>
      <c r="X664" s="74"/>
      <c r="Y664" s="74"/>
      <c r="Z664" s="74"/>
    </row>
    <row r="665" spans="1:26" ht="14.4" x14ac:dyDescent="0.3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4"/>
      <c r="L665" s="74"/>
      <c r="M665" s="74"/>
      <c r="N665" s="74"/>
      <c r="O665" s="74"/>
      <c r="P665" s="74"/>
      <c r="Q665" s="74"/>
      <c r="R665" s="74"/>
      <c r="S665" s="74"/>
      <c r="T665" s="74"/>
      <c r="U665" s="74"/>
      <c r="V665" s="74"/>
      <c r="W665" s="74"/>
      <c r="X665" s="74"/>
      <c r="Y665" s="74"/>
      <c r="Z665" s="74"/>
    </row>
    <row r="666" spans="1:26" ht="14.4" x14ac:dyDescent="0.3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4"/>
      <c r="L666" s="74"/>
      <c r="M666" s="74"/>
      <c r="N666" s="74"/>
      <c r="O666" s="74"/>
      <c r="P666" s="74"/>
      <c r="Q666" s="74"/>
      <c r="R666" s="74"/>
      <c r="S666" s="74"/>
      <c r="T666" s="74"/>
      <c r="U666" s="74"/>
      <c r="V666" s="74"/>
      <c r="W666" s="74"/>
      <c r="X666" s="74"/>
      <c r="Y666" s="74"/>
      <c r="Z666" s="74"/>
    </row>
    <row r="667" spans="1:26" ht="14.4" x14ac:dyDescent="0.3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4"/>
      <c r="L667" s="74"/>
      <c r="M667" s="74"/>
      <c r="N667" s="74"/>
      <c r="O667" s="74"/>
      <c r="P667" s="74"/>
      <c r="Q667" s="74"/>
      <c r="R667" s="74"/>
      <c r="S667" s="74"/>
      <c r="T667" s="74"/>
      <c r="U667" s="74"/>
      <c r="V667" s="74"/>
      <c r="W667" s="74"/>
      <c r="X667" s="74"/>
      <c r="Y667" s="74"/>
      <c r="Z667" s="74"/>
    </row>
    <row r="668" spans="1:26" ht="14.4" x14ac:dyDescent="0.3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4"/>
      <c r="L668" s="74"/>
      <c r="M668" s="74"/>
      <c r="N668" s="74"/>
      <c r="O668" s="74"/>
      <c r="P668" s="74"/>
      <c r="Q668" s="74"/>
      <c r="R668" s="74"/>
      <c r="S668" s="74"/>
      <c r="T668" s="74"/>
      <c r="U668" s="74"/>
      <c r="V668" s="74"/>
      <c r="W668" s="74"/>
      <c r="X668" s="74"/>
      <c r="Y668" s="74"/>
      <c r="Z668" s="74"/>
    </row>
    <row r="669" spans="1:26" ht="14.4" x14ac:dyDescent="0.3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4"/>
      <c r="L669" s="74"/>
      <c r="M669" s="74"/>
      <c r="N669" s="74"/>
      <c r="O669" s="74"/>
      <c r="P669" s="74"/>
      <c r="Q669" s="74"/>
      <c r="R669" s="74"/>
      <c r="S669" s="74"/>
      <c r="T669" s="74"/>
      <c r="U669" s="74"/>
      <c r="V669" s="74"/>
      <c r="W669" s="74"/>
      <c r="X669" s="74"/>
      <c r="Y669" s="74"/>
      <c r="Z669" s="74"/>
    </row>
    <row r="670" spans="1:26" ht="14.4" x14ac:dyDescent="0.3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4"/>
      <c r="L670" s="74"/>
      <c r="M670" s="74"/>
      <c r="N670" s="74"/>
      <c r="O670" s="74"/>
      <c r="P670" s="74"/>
      <c r="Q670" s="74"/>
      <c r="R670" s="74"/>
      <c r="S670" s="74"/>
      <c r="T670" s="74"/>
      <c r="U670" s="74"/>
      <c r="V670" s="74"/>
      <c r="W670" s="74"/>
      <c r="X670" s="74"/>
      <c r="Y670" s="74"/>
      <c r="Z670" s="74"/>
    </row>
    <row r="671" spans="1:26" ht="14.4" x14ac:dyDescent="0.3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4"/>
      <c r="L671" s="74"/>
      <c r="M671" s="74"/>
      <c r="N671" s="74"/>
      <c r="O671" s="74"/>
      <c r="P671" s="74"/>
      <c r="Q671" s="74"/>
      <c r="R671" s="74"/>
      <c r="S671" s="74"/>
      <c r="T671" s="74"/>
      <c r="U671" s="74"/>
      <c r="V671" s="74"/>
      <c r="W671" s="74"/>
      <c r="X671" s="74"/>
      <c r="Y671" s="74"/>
      <c r="Z671" s="74"/>
    </row>
    <row r="672" spans="1:26" ht="14.4" x14ac:dyDescent="0.3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4"/>
      <c r="L672" s="74"/>
      <c r="M672" s="74"/>
      <c r="N672" s="74"/>
      <c r="O672" s="74"/>
      <c r="P672" s="74"/>
      <c r="Q672" s="74"/>
      <c r="R672" s="74"/>
      <c r="S672" s="74"/>
      <c r="T672" s="74"/>
      <c r="U672" s="74"/>
      <c r="V672" s="74"/>
      <c r="W672" s="74"/>
      <c r="X672" s="74"/>
      <c r="Y672" s="74"/>
      <c r="Z672" s="74"/>
    </row>
    <row r="673" spans="1:26" ht="14.4" x14ac:dyDescent="0.3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4"/>
      <c r="L673" s="74"/>
      <c r="M673" s="74"/>
      <c r="N673" s="74"/>
      <c r="O673" s="74"/>
      <c r="P673" s="74"/>
      <c r="Q673" s="74"/>
      <c r="R673" s="74"/>
      <c r="S673" s="74"/>
      <c r="T673" s="74"/>
      <c r="U673" s="74"/>
      <c r="V673" s="74"/>
      <c r="W673" s="74"/>
      <c r="X673" s="74"/>
      <c r="Y673" s="74"/>
      <c r="Z673" s="74"/>
    </row>
    <row r="674" spans="1:26" ht="14.4" x14ac:dyDescent="0.3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4"/>
      <c r="L674" s="74"/>
      <c r="M674" s="74"/>
      <c r="N674" s="74"/>
      <c r="O674" s="74"/>
      <c r="P674" s="74"/>
      <c r="Q674" s="74"/>
      <c r="R674" s="74"/>
      <c r="S674" s="74"/>
      <c r="T674" s="74"/>
      <c r="U674" s="74"/>
      <c r="V674" s="74"/>
      <c r="W674" s="74"/>
      <c r="X674" s="74"/>
      <c r="Y674" s="74"/>
      <c r="Z674" s="74"/>
    </row>
    <row r="675" spans="1:26" ht="14.4" x14ac:dyDescent="0.3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4"/>
      <c r="L675" s="74"/>
      <c r="M675" s="74"/>
      <c r="N675" s="74"/>
      <c r="O675" s="74"/>
      <c r="P675" s="74"/>
      <c r="Q675" s="74"/>
      <c r="R675" s="74"/>
      <c r="S675" s="74"/>
      <c r="T675" s="74"/>
      <c r="U675" s="74"/>
      <c r="V675" s="74"/>
      <c r="W675" s="74"/>
      <c r="X675" s="74"/>
      <c r="Y675" s="74"/>
      <c r="Z675" s="74"/>
    </row>
    <row r="676" spans="1:26" ht="14.4" x14ac:dyDescent="0.3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4"/>
      <c r="L676" s="74"/>
      <c r="M676" s="74"/>
      <c r="N676" s="74"/>
      <c r="O676" s="74"/>
      <c r="P676" s="74"/>
      <c r="Q676" s="74"/>
      <c r="R676" s="74"/>
      <c r="S676" s="74"/>
      <c r="T676" s="74"/>
      <c r="U676" s="74"/>
      <c r="V676" s="74"/>
      <c r="W676" s="74"/>
      <c r="X676" s="74"/>
      <c r="Y676" s="74"/>
      <c r="Z676" s="74"/>
    </row>
    <row r="677" spans="1:26" ht="14.4" x14ac:dyDescent="0.3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4"/>
      <c r="L677" s="74"/>
      <c r="M677" s="74"/>
      <c r="N677" s="74"/>
      <c r="O677" s="74"/>
      <c r="P677" s="74"/>
      <c r="Q677" s="74"/>
      <c r="R677" s="74"/>
      <c r="S677" s="74"/>
      <c r="T677" s="74"/>
      <c r="U677" s="74"/>
      <c r="V677" s="74"/>
      <c r="W677" s="74"/>
      <c r="X677" s="74"/>
      <c r="Y677" s="74"/>
      <c r="Z677" s="74"/>
    </row>
    <row r="678" spans="1:26" ht="14.4" x14ac:dyDescent="0.3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4"/>
      <c r="L678" s="74"/>
      <c r="M678" s="74"/>
      <c r="N678" s="74"/>
      <c r="O678" s="74"/>
      <c r="P678" s="74"/>
      <c r="Q678" s="74"/>
      <c r="R678" s="74"/>
      <c r="S678" s="74"/>
      <c r="T678" s="74"/>
      <c r="U678" s="74"/>
      <c r="V678" s="74"/>
      <c r="W678" s="74"/>
      <c r="X678" s="74"/>
      <c r="Y678" s="74"/>
      <c r="Z678" s="74"/>
    </row>
    <row r="679" spans="1:26" ht="14.4" x14ac:dyDescent="0.3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4"/>
      <c r="L679" s="74"/>
      <c r="M679" s="74"/>
      <c r="N679" s="74"/>
      <c r="O679" s="74"/>
      <c r="P679" s="74"/>
      <c r="Q679" s="74"/>
      <c r="R679" s="74"/>
      <c r="S679" s="74"/>
      <c r="T679" s="74"/>
      <c r="U679" s="74"/>
      <c r="V679" s="74"/>
      <c r="W679" s="74"/>
      <c r="X679" s="74"/>
      <c r="Y679" s="74"/>
      <c r="Z679" s="74"/>
    </row>
    <row r="680" spans="1:26" ht="14.4" x14ac:dyDescent="0.3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4"/>
      <c r="L680" s="74"/>
      <c r="M680" s="74"/>
      <c r="N680" s="74"/>
      <c r="O680" s="74"/>
      <c r="P680" s="74"/>
      <c r="Q680" s="74"/>
      <c r="R680" s="74"/>
      <c r="S680" s="74"/>
      <c r="T680" s="74"/>
      <c r="U680" s="74"/>
      <c r="V680" s="74"/>
      <c r="W680" s="74"/>
      <c r="X680" s="74"/>
      <c r="Y680" s="74"/>
      <c r="Z680" s="74"/>
    </row>
    <row r="681" spans="1:26" ht="14.4" x14ac:dyDescent="0.3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4"/>
      <c r="L681" s="74"/>
      <c r="M681" s="74"/>
      <c r="N681" s="74"/>
      <c r="O681" s="74"/>
      <c r="P681" s="74"/>
      <c r="Q681" s="74"/>
      <c r="R681" s="74"/>
      <c r="S681" s="74"/>
      <c r="T681" s="74"/>
      <c r="U681" s="74"/>
      <c r="V681" s="74"/>
      <c r="W681" s="74"/>
      <c r="X681" s="74"/>
      <c r="Y681" s="74"/>
      <c r="Z681" s="74"/>
    </row>
    <row r="682" spans="1:26" ht="14.4" x14ac:dyDescent="0.3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4"/>
      <c r="L682" s="74"/>
      <c r="M682" s="74"/>
      <c r="N682" s="74"/>
      <c r="O682" s="74"/>
      <c r="P682" s="74"/>
      <c r="Q682" s="74"/>
      <c r="R682" s="74"/>
      <c r="S682" s="74"/>
      <c r="T682" s="74"/>
      <c r="U682" s="74"/>
      <c r="V682" s="74"/>
      <c r="W682" s="74"/>
      <c r="X682" s="74"/>
      <c r="Y682" s="74"/>
      <c r="Z682" s="74"/>
    </row>
    <row r="683" spans="1:26" ht="14.4" x14ac:dyDescent="0.3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4"/>
      <c r="L683" s="74"/>
      <c r="M683" s="74"/>
      <c r="N683" s="74"/>
      <c r="O683" s="74"/>
      <c r="P683" s="74"/>
      <c r="Q683" s="74"/>
      <c r="R683" s="74"/>
      <c r="S683" s="74"/>
      <c r="T683" s="74"/>
      <c r="U683" s="74"/>
      <c r="V683" s="74"/>
      <c r="W683" s="74"/>
      <c r="X683" s="74"/>
      <c r="Y683" s="74"/>
      <c r="Z683" s="74"/>
    </row>
    <row r="684" spans="1:26" ht="14.4" x14ac:dyDescent="0.3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  <c r="Z684" s="74"/>
    </row>
    <row r="685" spans="1:26" ht="14.4" x14ac:dyDescent="0.3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4"/>
      <c r="L685" s="74"/>
      <c r="M685" s="74"/>
      <c r="N685" s="74"/>
      <c r="O685" s="74"/>
      <c r="P685" s="74"/>
      <c r="Q685" s="74"/>
      <c r="R685" s="74"/>
      <c r="S685" s="74"/>
      <c r="T685" s="74"/>
      <c r="U685" s="74"/>
      <c r="V685" s="74"/>
      <c r="W685" s="74"/>
      <c r="X685" s="74"/>
      <c r="Y685" s="74"/>
      <c r="Z685" s="74"/>
    </row>
    <row r="686" spans="1:26" ht="14.4" x14ac:dyDescent="0.3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4"/>
      <c r="L686" s="74"/>
      <c r="M686" s="74"/>
      <c r="N686" s="74"/>
      <c r="O686" s="74"/>
      <c r="P686" s="74"/>
      <c r="Q686" s="74"/>
      <c r="R686" s="74"/>
      <c r="S686" s="74"/>
      <c r="T686" s="74"/>
      <c r="U686" s="74"/>
      <c r="V686" s="74"/>
      <c r="W686" s="74"/>
      <c r="X686" s="74"/>
      <c r="Y686" s="74"/>
      <c r="Z686" s="74"/>
    </row>
    <row r="687" spans="1:26" ht="14.4" x14ac:dyDescent="0.3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4"/>
      <c r="L687" s="74"/>
      <c r="M687" s="74"/>
      <c r="N687" s="74"/>
      <c r="O687" s="74"/>
      <c r="P687" s="74"/>
      <c r="Q687" s="74"/>
      <c r="R687" s="74"/>
      <c r="S687" s="74"/>
      <c r="T687" s="74"/>
      <c r="U687" s="74"/>
      <c r="V687" s="74"/>
      <c r="W687" s="74"/>
      <c r="X687" s="74"/>
      <c r="Y687" s="74"/>
      <c r="Z687" s="74"/>
    </row>
    <row r="688" spans="1:26" ht="14.4" x14ac:dyDescent="0.3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4"/>
      <c r="L688" s="74"/>
      <c r="M688" s="74"/>
      <c r="N688" s="74"/>
      <c r="O688" s="74"/>
      <c r="P688" s="74"/>
      <c r="Q688" s="74"/>
      <c r="R688" s="74"/>
      <c r="S688" s="74"/>
      <c r="T688" s="74"/>
      <c r="U688" s="74"/>
      <c r="V688" s="74"/>
      <c r="W688" s="74"/>
      <c r="X688" s="74"/>
      <c r="Y688" s="74"/>
      <c r="Z688" s="74"/>
    </row>
    <row r="689" spans="1:26" ht="14.4" x14ac:dyDescent="0.3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4"/>
      <c r="L689" s="74"/>
      <c r="M689" s="74"/>
      <c r="N689" s="74"/>
      <c r="O689" s="74"/>
      <c r="P689" s="74"/>
      <c r="Q689" s="74"/>
      <c r="R689" s="74"/>
      <c r="S689" s="74"/>
      <c r="T689" s="74"/>
      <c r="U689" s="74"/>
      <c r="V689" s="74"/>
      <c r="W689" s="74"/>
      <c r="X689" s="74"/>
      <c r="Y689" s="74"/>
      <c r="Z689" s="74"/>
    </row>
    <row r="690" spans="1:26" ht="14.4" x14ac:dyDescent="0.3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4"/>
      <c r="L690" s="74"/>
      <c r="M690" s="74"/>
      <c r="N690" s="74"/>
      <c r="O690" s="74"/>
      <c r="P690" s="74"/>
      <c r="Q690" s="74"/>
      <c r="R690" s="74"/>
      <c r="S690" s="74"/>
      <c r="T690" s="74"/>
      <c r="U690" s="74"/>
      <c r="V690" s="74"/>
      <c r="W690" s="74"/>
      <c r="X690" s="74"/>
      <c r="Y690" s="74"/>
      <c r="Z690" s="74"/>
    </row>
    <row r="691" spans="1:26" ht="14.4" x14ac:dyDescent="0.3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4"/>
      <c r="L691" s="74"/>
      <c r="M691" s="74"/>
      <c r="N691" s="74"/>
      <c r="O691" s="74"/>
      <c r="P691" s="74"/>
      <c r="Q691" s="74"/>
      <c r="R691" s="74"/>
      <c r="S691" s="74"/>
      <c r="T691" s="74"/>
      <c r="U691" s="74"/>
      <c r="V691" s="74"/>
      <c r="W691" s="74"/>
      <c r="X691" s="74"/>
      <c r="Y691" s="74"/>
      <c r="Z691" s="74"/>
    </row>
    <row r="692" spans="1:26" ht="14.4" x14ac:dyDescent="0.3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4"/>
      <c r="L692" s="74"/>
      <c r="M692" s="74"/>
      <c r="N692" s="74"/>
      <c r="O692" s="74"/>
      <c r="P692" s="74"/>
      <c r="Q692" s="74"/>
      <c r="R692" s="74"/>
      <c r="S692" s="74"/>
      <c r="T692" s="74"/>
      <c r="U692" s="74"/>
      <c r="V692" s="74"/>
      <c r="W692" s="74"/>
      <c r="X692" s="74"/>
      <c r="Y692" s="74"/>
      <c r="Z692" s="74"/>
    </row>
    <row r="693" spans="1:26" ht="14.4" x14ac:dyDescent="0.3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4"/>
      <c r="L693" s="74"/>
      <c r="M693" s="74"/>
      <c r="N693" s="74"/>
      <c r="O693" s="74"/>
      <c r="P693" s="74"/>
      <c r="Q693" s="74"/>
      <c r="R693" s="74"/>
      <c r="S693" s="74"/>
      <c r="T693" s="74"/>
      <c r="U693" s="74"/>
      <c r="V693" s="74"/>
      <c r="W693" s="74"/>
      <c r="X693" s="74"/>
      <c r="Y693" s="74"/>
      <c r="Z693" s="74"/>
    </row>
    <row r="694" spans="1:26" ht="14.4" x14ac:dyDescent="0.3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4"/>
      <c r="L694" s="74"/>
      <c r="M694" s="74"/>
      <c r="N694" s="74"/>
      <c r="O694" s="74"/>
      <c r="P694" s="74"/>
      <c r="Q694" s="74"/>
      <c r="R694" s="74"/>
      <c r="S694" s="74"/>
      <c r="T694" s="74"/>
      <c r="U694" s="74"/>
      <c r="V694" s="74"/>
      <c r="W694" s="74"/>
      <c r="X694" s="74"/>
      <c r="Y694" s="74"/>
      <c r="Z694" s="74"/>
    </row>
    <row r="695" spans="1:26" ht="14.4" x14ac:dyDescent="0.3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4"/>
      <c r="L695" s="74"/>
      <c r="M695" s="74"/>
      <c r="N695" s="74"/>
      <c r="O695" s="74"/>
      <c r="P695" s="74"/>
      <c r="Q695" s="74"/>
      <c r="R695" s="74"/>
      <c r="S695" s="74"/>
      <c r="T695" s="74"/>
      <c r="U695" s="74"/>
      <c r="V695" s="74"/>
      <c r="W695" s="74"/>
      <c r="X695" s="74"/>
      <c r="Y695" s="74"/>
      <c r="Z695" s="74"/>
    </row>
    <row r="696" spans="1:26" ht="14.4" x14ac:dyDescent="0.3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4"/>
      <c r="L696" s="74"/>
      <c r="M696" s="74"/>
      <c r="N696" s="74"/>
      <c r="O696" s="74"/>
      <c r="P696" s="74"/>
      <c r="Q696" s="74"/>
      <c r="R696" s="74"/>
      <c r="S696" s="74"/>
      <c r="T696" s="74"/>
      <c r="U696" s="74"/>
      <c r="V696" s="74"/>
      <c r="W696" s="74"/>
      <c r="X696" s="74"/>
      <c r="Y696" s="74"/>
      <c r="Z696" s="74"/>
    </row>
    <row r="697" spans="1:26" ht="14.4" x14ac:dyDescent="0.3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4"/>
      <c r="L697" s="74"/>
      <c r="M697" s="74"/>
      <c r="N697" s="74"/>
      <c r="O697" s="74"/>
      <c r="P697" s="74"/>
      <c r="Q697" s="74"/>
      <c r="R697" s="74"/>
      <c r="S697" s="74"/>
      <c r="T697" s="74"/>
      <c r="U697" s="74"/>
      <c r="V697" s="74"/>
      <c r="W697" s="74"/>
      <c r="X697" s="74"/>
      <c r="Y697" s="74"/>
      <c r="Z697" s="74"/>
    </row>
    <row r="698" spans="1:26" ht="14.4" x14ac:dyDescent="0.3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4"/>
      <c r="L698" s="74"/>
      <c r="M698" s="74"/>
      <c r="N698" s="74"/>
      <c r="O698" s="74"/>
      <c r="P698" s="74"/>
      <c r="Q698" s="74"/>
      <c r="R698" s="74"/>
      <c r="S698" s="74"/>
      <c r="T698" s="74"/>
      <c r="U698" s="74"/>
      <c r="V698" s="74"/>
      <c r="W698" s="74"/>
      <c r="X698" s="74"/>
      <c r="Y698" s="74"/>
      <c r="Z698" s="74"/>
    </row>
    <row r="699" spans="1:26" ht="14.4" x14ac:dyDescent="0.3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4"/>
      <c r="L699" s="74"/>
      <c r="M699" s="74"/>
      <c r="N699" s="74"/>
      <c r="O699" s="74"/>
      <c r="P699" s="74"/>
      <c r="Q699" s="74"/>
      <c r="R699" s="74"/>
      <c r="S699" s="74"/>
      <c r="T699" s="74"/>
      <c r="U699" s="74"/>
      <c r="V699" s="74"/>
      <c r="W699" s="74"/>
      <c r="X699" s="74"/>
      <c r="Y699" s="74"/>
      <c r="Z699" s="74"/>
    </row>
    <row r="700" spans="1:26" ht="14.4" x14ac:dyDescent="0.3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4"/>
      <c r="L700" s="74"/>
      <c r="M700" s="74"/>
      <c r="N700" s="74"/>
      <c r="O700" s="74"/>
      <c r="P700" s="74"/>
      <c r="Q700" s="74"/>
      <c r="R700" s="74"/>
      <c r="S700" s="74"/>
      <c r="T700" s="74"/>
      <c r="U700" s="74"/>
      <c r="V700" s="74"/>
      <c r="W700" s="74"/>
      <c r="X700" s="74"/>
      <c r="Y700" s="74"/>
      <c r="Z700" s="74"/>
    </row>
    <row r="701" spans="1:26" ht="14.4" x14ac:dyDescent="0.3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4"/>
      <c r="L701" s="74"/>
      <c r="M701" s="74"/>
      <c r="N701" s="74"/>
      <c r="O701" s="74"/>
      <c r="P701" s="74"/>
      <c r="Q701" s="74"/>
      <c r="R701" s="74"/>
      <c r="S701" s="74"/>
      <c r="T701" s="74"/>
      <c r="U701" s="74"/>
      <c r="V701" s="74"/>
      <c r="W701" s="74"/>
      <c r="X701" s="74"/>
      <c r="Y701" s="74"/>
      <c r="Z701" s="74"/>
    </row>
    <row r="702" spans="1:26" ht="14.4" x14ac:dyDescent="0.3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4"/>
      <c r="L702" s="74"/>
      <c r="M702" s="74"/>
      <c r="N702" s="74"/>
      <c r="O702" s="74"/>
      <c r="P702" s="74"/>
      <c r="Q702" s="74"/>
      <c r="R702" s="74"/>
      <c r="S702" s="74"/>
      <c r="T702" s="74"/>
      <c r="U702" s="74"/>
      <c r="V702" s="74"/>
      <c r="W702" s="74"/>
      <c r="X702" s="74"/>
      <c r="Y702" s="74"/>
      <c r="Z702" s="74"/>
    </row>
    <row r="703" spans="1:26" ht="14.4" x14ac:dyDescent="0.3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4"/>
      <c r="L703" s="74"/>
      <c r="M703" s="74"/>
      <c r="N703" s="74"/>
      <c r="O703" s="74"/>
      <c r="P703" s="74"/>
      <c r="Q703" s="74"/>
      <c r="R703" s="74"/>
      <c r="S703" s="74"/>
      <c r="T703" s="74"/>
      <c r="U703" s="74"/>
      <c r="V703" s="74"/>
      <c r="W703" s="74"/>
      <c r="X703" s="74"/>
      <c r="Y703" s="74"/>
      <c r="Z703" s="74"/>
    </row>
    <row r="704" spans="1:26" ht="14.4" x14ac:dyDescent="0.3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4"/>
      <c r="L704" s="74"/>
      <c r="M704" s="74"/>
      <c r="N704" s="74"/>
      <c r="O704" s="74"/>
      <c r="P704" s="74"/>
      <c r="Q704" s="74"/>
      <c r="R704" s="74"/>
      <c r="S704" s="74"/>
      <c r="T704" s="74"/>
      <c r="U704" s="74"/>
      <c r="V704" s="74"/>
      <c r="W704" s="74"/>
      <c r="X704" s="74"/>
      <c r="Y704" s="74"/>
      <c r="Z704" s="74"/>
    </row>
    <row r="705" spans="1:26" ht="14.4" x14ac:dyDescent="0.3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4"/>
      <c r="L705" s="74"/>
      <c r="M705" s="74"/>
      <c r="N705" s="74"/>
      <c r="O705" s="74"/>
      <c r="P705" s="74"/>
      <c r="Q705" s="74"/>
      <c r="R705" s="74"/>
      <c r="S705" s="74"/>
      <c r="T705" s="74"/>
      <c r="U705" s="74"/>
      <c r="V705" s="74"/>
      <c r="W705" s="74"/>
      <c r="X705" s="74"/>
      <c r="Y705" s="74"/>
      <c r="Z705" s="74"/>
    </row>
    <row r="706" spans="1:26" ht="14.4" x14ac:dyDescent="0.3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4"/>
      <c r="L706" s="74"/>
      <c r="M706" s="74"/>
      <c r="N706" s="74"/>
      <c r="O706" s="74"/>
      <c r="P706" s="74"/>
      <c r="Q706" s="74"/>
      <c r="R706" s="74"/>
      <c r="S706" s="74"/>
      <c r="T706" s="74"/>
      <c r="U706" s="74"/>
      <c r="V706" s="74"/>
      <c r="W706" s="74"/>
      <c r="X706" s="74"/>
      <c r="Y706" s="74"/>
      <c r="Z706" s="74"/>
    </row>
    <row r="707" spans="1:26" ht="14.4" x14ac:dyDescent="0.3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4"/>
      <c r="L707" s="74"/>
      <c r="M707" s="74"/>
      <c r="N707" s="74"/>
      <c r="O707" s="74"/>
      <c r="P707" s="74"/>
      <c r="Q707" s="74"/>
      <c r="R707" s="74"/>
      <c r="S707" s="74"/>
      <c r="T707" s="74"/>
      <c r="U707" s="74"/>
      <c r="V707" s="74"/>
      <c r="W707" s="74"/>
      <c r="X707" s="74"/>
      <c r="Y707" s="74"/>
      <c r="Z707" s="74"/>
    </row>
    <row r="708" spans="1:26" ht="14.4" x14ac:dyDescent="0.3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4"/>
      <c r="L708" s="74"/>
      <c r="M708" s="74"/>
      <c r="N708" s="74"/>
      <c r="O708" s="74"/>
      <c r="P708" s="74"/>
      <c r="Q708" s="74"/>
      <c r="R708" s="74"/>
      <c r="S708" s="74"/>
      <c r="T708" s="74"/>
      <c r="U708" s="74"/>
      <c r="V708" s="74"/>
      <c r="W708" s="74"/>
      <c r="X708" s="74"/>
      <c r="Y708" s="74"/>
      <c r="Z708" s="74"/>
    </row>
    <row r="709" spans="1:26" ht="14.4" x14ac:dyDescent="0.3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4"/>
      <c r="L709" s="74"/>
      <c r="M709" s="74"/>
      <c r="N709" s="74"/>
      <c r="O709" s="74"/>
      <c r="P709" s="74"/>
      <c r="Q709" s="74"/>
      <c r="R709" s="74"/>
      <c r="S709" s="74"/>
      <c r="T709" s="74"/>
      <c r="U709" s="74"/>
      <c r="V709" s="74"/>
      <c r="W709" s="74"/>
      <c r="X709" s="74"/>
      <c r="Y709" s="74"/>
      <c r="Z709" s="74"/>
    </row>
    <row r="710" spans="1:26" ht="14.4" x14ac:dyDescent="0.3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4"/>
      <c r="L710" s="74"/>
      <c r="M710" s="74"/>
      <c r="N710" s="74"/>
      <c r="O710" s="74"/>
      <c r="P710" s="74"/>
      <c r="Q710" s="74"/>
      <c r="R710" s="74"/>
      <c r="S710" s="74"/>
      <c r="T710" s="74"/>
      <c r="U710" s="74"/>
      <c r="V710" s="74"/>
      <c r="W710" s="74"/>
      <c r="X710" s="74"/>
      <c r="Y710" s="74"/>
      <c r="Z710" s="74"/>
    </row>
    <row r="711" spans="1:26" ht="14.4" x14ac:dyDescent="0.3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4"/>
      <c r="L711" s="74"/>
      <c r="M711" s="74"/>
      <c r="N711" s="74"/>
      <c r="O711" s="74"/>
      <c r="P711" s="74"/>
      <c r="Q711" s="74"/>
      <c r="R711" s="74"/>
      <c r="S711" s="74"/>
      <c r="T711" s="74"/>
      <c r="U711" s="74"/>
      <c r="V711" s="74"/>
      <c r="W711" s="74"/>
      <c r="X711" s="74"/>
      <c r="Y711" s="74"/>
      <c r="Z711" s="74"/>
    </row>
    <row r="712" spans="1:26" ht="14.4" x14ac:dyDescent="0.3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4"/>
      <c r="L712" s="74"/>
      <c r="M712" s="74"/>
      <c r="N712" s="74"/>
      <c r="O712" s="74"/>
      <c r="P712" s="74"/>
      <c r="Q712" s="74"/>
      <c r="R712" s="74"/>
      <c r="S712" s="74"/>
      <c r="T712" s="74"/>
      <c r="U712" s="74"/>
      <c r="V712" s="74"/>
      <c r="W712" s="74"/>
      <c r="X712" s="74"/>
      <c r="Y712" s="74"/>
      <c r="Z712" s="74"/>
    </row>
    <row r="713" spans="1:26" ht="14.4" x14ac:dyDescent="0.3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</row>
    <row r="714" spans="1:26" ht="14.4" x14ac:dyDescent="0.3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4"/>
      <c r="L714" s="74"/>
      <c r="M714" s="74"/>
      <c r="N714" s="74"/>
      <c r="O714" s="74"/>
      <c r="P714" s="74"/>
      <c r="Q714" s="74"/>
      <c r="R714" s="74"/>
      <c r="S714" s="74"/>
      <c r="T714" s="74"/>
      <c r="U714" s="74"/>
      <c r="V714" s="74"/>
      <c r="W714" s="74"/>
      <c r="X714" s="74"/>
      <c r="Y714" s="74"/>
      <c r="Z714" s="74"/>
    </row>
    <row r="715" spans="1:26" ht="14.4" x14ac:dyDescent="0.3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4"/>
      <c r="L715" s="74"/>
      <c r="M715" s="74"/>
      <c r="N715" s="74"/>
      <c r="O715" s="74"/>
      <c r="P715" s="74"/>
      <c r="Q715" s="74"/>
      <c r="R715" s="74"/>
      <c r="S715" s="74"/>
      <c r="T715" s="74"/>
      <c r="U715" s="74"/>
      <c r="V715" s="74"/>
      <c r="W715" s="74"/>
      <c r="X715" s="74"/>
      <c r="Y715" s="74"/>
      <c r="Z715" s="74"/>
    </row>
    <row r="716" spans="1:26" ht="14.4" x14ac:dyDescent="0.3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4"/>
      <c r="L716" s="74"/>
      <c r="M716" s="74"/>
      <c r="N716" s="74"/>
      <c r="O716" s="74"/>
      <c r="P716" s="74"/>
      <c r="Q716" s="74"/>
      <c r="R716" s="74"/>
      <c r="S716" s="74"/>
      <c r="T716" s="74"/>
      <c r="U716" s="74"/>
      <c r="V716" s="74"/>
      <c r="W716" s="74"/>
      <c r="X716" s="74"/>
      <c r="Y716" s="74"/>
      <c r="Z716" s="74"/>
    </row>
    <row r="717" spans="1:26" ht="14.4" x14ac:dyDescent="0.3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4"/>
      <c r="L717" s="74"/>
      <c r="M717" s="74"/>
      <c r="N717" s="74"/>
      <c r="O717" s="74"/>
      <c r="P717" s="74"/>
      <c r="Q717" s="74"/>
      <c r="R717" s="74"/>
      <c r="S717" s="74"/>
      <c r="T717" s="74"/>
      <c r="U717" s="74"/>
      <c r="V717" s="74"/>
      <c r="W717" s="74"/>
      <c r="X717" s="74"/>
      <c r="Y717" s="74"/>
      <c r="Z717" s="74"/>
    </row>
    <row r="718" spans="1:26" ht="14.4" x14ac:dyDescent="0.3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4"/>
      <c r="L718" s="74"/>
      <c r="M718" s="74"/>
      <c r="N718" s="74"/>
      <c r="O718" s="74"/>
      <c r="P718" s="74"/>
      <c r="Q718" s="74"/>
      <c r="R718" s="74"/>
      <c r="S718" s="74"/>
      <c r="T718" s="74"/>
      <c r="U718" s="74"/>
      <c r="V718" s="74"/>
      <c r="W718" s="74"/>
      <c r="X718" s="74"/>
      <c r="Y718" s="74"/>
      <c r="Z718" s="74"/>
    </row>
    <row r="719" spans="1:26" ht="14.4" x14ac:dyDescent="0.3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4"/>
      <c r="L719" s="74"/>
      <c r="M719" s="74"/>
      <c r="N719" s="74"/>
      <c r="O719" s="74"/>
      <c r="P719" s="74"/>
      <c r="Q719" s="74"/>
      <c r="R719" s="74"/>
      <c r="S719" s="74"/>
      <c r="T719" s="74"/>
      <c r="U719" s="74"/>
      <c r="V719" s="74"/>
      <c r="W719" s="74"/>
      <c r="X719" s="74"/>
      <c r="Y719" s="74"/>
      <c r="Z719" s="74"/>
    </row>
    <row r="720" spans="1:26" ht="14.4" x14ac:dyDescent="0.3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4"/>
      <c r="L720" s="74"/>
      <c r="M720" s="74"/>
      <c r="N720" s="74"/>
      <c r="O720" s="74"/>
      <c r="P720" s="74"/>
      <c r="Q720" s="74"/>
      <c r="R720" s="74"/>
      <c r="S720" s="74"/>
      <c r="T720" s="74"/>
      <c r="U720" s="74"/>
      <c r="V720" s="74"/>
      <c r="W720" s="74"/>
      <c r="X720" s="74"/>
      <c r="Y720" s="74"/>
      <c r="Z720" s="74"/>
    </row>
    <row r="721" spans="1:26" ht="14.4" x14ac:dyDescent="0.3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4"/>
      <c r="L721" s="74"/>
      <c r="M721" s="74"/>
      <c r="N721" s="74"/>
      <c r="O721" s="74"/>
      <c r="P721" s="74"/>
      <c r="Q721" s="74"/>
      <c r="R721" s="74"/>
      <c r="S721" s="74"/>
      <c r="T721" s="74"/>
      <c r="U721" s="74"/>
      <c r="V721" s="74"/>
      <c r="W721" s="74"/>
      <c r="X721" s="74"/>
      <c r="Y721" s="74"/>
      <c r="Z721" s="74"/>
    </row>
    <row r="722" spans="1:26" ht="14.4" x14ac:dyDescent="0.3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4"/>
      <c r="L722" s="74"/>
      <c r="M722" s="74"/>
      <c r="N722" s="74"/>
      <c r="O722" s="74"/>
      <c r="P722" s="74"/>
      <c r="Q722" s="74"/>
      <c r="R722" s="74"/>
      <c r="S722" s="74"/>
      <c r="T722" s="74"/>
      <c r="U722" s="74"/>
      <c r="V722" s="74"/>
      <c r="W722" s="74"/>
      <c r="X722" s="74"/>
      <c r="Y722" s="74"/>
      <c r="Z722" s="74"/>
    </row>
    <row r="723" spans="1:26" ht="14.4" x14ac:dyDescent="0.3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4"/>
      <c r="L723" s="74"/>
      <c r="M723" s="74"/>
      <c r="N723" s="74"/>
      <c r="O723" s="74"/>
      <c r="P723" s="74"/>
      <c r="Q723" s="74"/>
      <c r="R723" s="74"/>
      <c r="S723" s="74"/>
      <c r="T723" s="74"/>
      <c r="U723" s="74"/>
      <c r="V723" s="74"/>
      <c r="W723" s="74"/>
      <c r="X723" s="74"/>
      <c r="Y723" s="74"/>
      <c r="Z723" s="74"/>
    </row>
    <row r="724" spans="1:26" ht="14.4" x14ac:dyDescent="0.3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4"/>
      <c r="L724" s="74"/>
      <c r="M724" s="74"/>
      <c r="N724" s="74"/>
      <c r="O724" s="74"/>
      <c r="P724" s="74"/>
      <c r="Q724" s="74"/>
      <c r="R724" s="74"/>
      <c r="S724" s="74"/>
      <c r="T724" s="74"/>
      <c r="U724" s="74"/>
      <c r="V724" s="74"/>
      <c r="W724" s="74"/>
      <c r="X724" s="74"/>
      <c r="Y724" s="74"/>
      <c r="Z724" s="74"/>
    </row>
    <row r="725" spans="1:26" ht="14.4" x14ac:dyDescent="0.3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4"/>
      <c r="L725" s="74"/>
      <c r="M725" s="74"/>
      <c r="N725" s="74"/>
      <c r="O725" s="74"/>
      <c r="P725" s="74"/>
      <c r="Q725" s="74"/>
      <c r="R725" s="74"/>
      <c r="S725" s="74"/>
      <c r="T725" s="74"/>
      <c r="U725" s="74"/>
      <c r="V725" s="74"/>
      <c r="W725" s="74"/>
      <c r="X725" s="74"/>
      <c r="Y725" s="74"/>
      <c r="Z725" s="74"/>
    </row>
    <row r="726" spans="1:26" ht="14.4" x14ac:dyDescent="0.3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4"/>
      <c r="L726" s="74"/>
      <c r="M726" s="74"/>
      <c r="N726" s="74"/>
      <c r="O726" s="74"/>
      <c r="P726" s="74"/>
      <c r="Q726" s="74"/>
      <c r="R726" s="74"/>
      <c r="S726" s="74"/>
      <c r="T726" s="74"/>
      <c r="U726" s="74"/>
      <c r="V726" s="74"/>
      <c r="W726" s="74"/>
      <c r="X726" s="74"/>
      <c r="Y726" s="74"/>
      <c r="Z726" s="74"/>
    </row>
    <row r="727" spans="1:26" ht="14.4" x14ac:dyDescent="0.3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4"/>
      <c r="L727" s="74"/>
      <c r="M727" s="74"/>
      <c r="N727" s="74"/>
      <c r="O727" s="74"/>
      <c r="P727" s="74"/>
      <c r="Q727" s="74"/>
      <c r="R727" s="74"/>
      <c r="S727" s="74"/>
      <c r="T727" s="74"/>
      <c r="U727" s="74"/>
      <c r="V727" s="74"/>
      <c r="W727" s="74"/>
      <c r="X727" s="74"/>
      <c r="Y727" s="74"/>
      <c r="Z727" s="74"/>
    </row>
    <row r="728" spans="1:26" ht="14.4" x14ac:dyDescent="0.3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4"/>
      <c r="L728" s="74"/>
      <c r="M728" s="74"/>
      <c r="N728" s="74"/>
      <c r="O728" s="74"/>
      <c r="P728" s="74"/>
      <c r="Q728" s="74"/>
      <c r="R728" s="74"/>
      <c r="S728" s="74"/>
      <c r="T728" s="74"/>
      <c r="U728" s="74"/>
      <c r="V728" s="74"/>
      <c r="W728" s="74"/>
      <c r="X728" s="74"/>
      <c r="Y728" s="74"/>
      <c r="Z728" s="74"/>
    </row>
    <row r="729" spans="1:26" ht="14.4" x14ac:dyDescent="0.3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4"/>
      <c r="L729" s="74"/>
      <c r="M729" s="74"/>
      <c r="N729" s="74"/>
      <c r="O729" s="74"/>
      <c r="P729" s="74"/>
      <c r="Q729" s="74"/>
      <c r="R729" s="74"/>
      <c r="S729" s="74"/>
      <c r="T729" s="74"/>
      <c r="U729" s="74"/>
      <c r="V729" s="74"/>
      <c r="W729" s="74"/>
      <c r="X729" s="74"/>
      <c r="Y729" s="74"/>
      <c r="Z729" s="74"/>
    </row>
    <row r="730" spans="1:26" ht="14.4" x14ac:dyDescent="0.3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4"/>
      <c r="L730" s="74"/>
      <c r="M730" s="74"/>
      <c r="N730" s="74"/>
      <c r="O730" s="74"/>
      <c r="P730" s="74"/>
      <c r="Q730" s="74"/>
      <c r="R730" s="74"/>
      <c r="S730" s="74"/>
      <c r="T730" s="74"/>
      <c r="U730" s="74"/>
      <c r="V730" s="74"/>
      <c r="W730" s="74"/>
      <c r="X730" s="74"/>
      <c r="Y730" s="74"/>
      <c r="Z730" s="74"/>
    </row>
    <row r="731" spans="1:26" ht="14.4" x14ac:dyDescent="0.3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4"/>
      <c r="L731" s="74"/>
      <c r="M731" s="74"/>
      <c r="N731" s="74"/>
      <c r="O731" s="74"/>
      <c r="P731" s="74"/>
      <c r="Q731" s="74"/>
      <c r="R731" s="74"/>
      <c r="S731" s="74"/>
      <c r="T731" s="74"/>
      <c r="U731" s="74"/>
      <c r="V731" s="74"/>
      <c r="W731" s="74"/>
      <c r="X731" s="74"/>
      <c r="Y731" s="74"/>
      <c r="Z731" s="74"/>
    </row>
    <row r="732" spans="1:26" ht="14.4" x14ac:dyDescent="0.3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4"/>
      <c r="L732" s="74"/>
      <c r="M732" s="74"/>
      <c r="N732" s="74"/>
      <c r="O732" s="74"/>
      <c r="P732" s="74"/>
      <c r="Q732" s="74"/>
      <c r="R732" s="74"/>
      <c r="S732" s="74"/>
      <c r="T732" s="74"/>
      <c r="U732" s="74"/>
      <c r="V732" s="74"/>
      <c r="W732" s="74"/>
      <c r="X732" s="74"/>
      <c r="Y732" s="74"/>
      <c r="Z732" s="74"/>
    </row>
    <row r="733" spans="1:26" ht="14.4" x14ac:dyDescent="0.3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  <c r="Z733" s="74"/>
    </row>
    <row r="734" spans="1:26" ht="14.4" x14ac:dyDescent="0.3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4"/>
      <c r="L734" s="74"/>
      <c r="M734" s="74"/>
      <c r="N734" s="74"/>
      <c r="O734" s="74"/>
      <c r="P734" s="74"/>
      <c r="Q734" s="74"/>
      <c r="R734" s="74"/>
      <c r="S734" s="74"/>
      <c r="T734" s="74"/>
      <c r="U734" s="74"/>
      <c r="V734" s="74"/>
      <c r="W734" s="74"/>
      <c r="X734" s="74"/>
      <c r="Y734" s="74"/>
      <c r="Z734" s="74"/>
    </row>
    <row r="735" spans="1:26" ht="14.4" x14ac:dyDescent="0.3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4"/>
      <c r="L735" s="74"/>
      <c r="M735" s="74"/>
      <c r="N735" s="74"/>
      <c r="O735" s="74"/>
      <c r="P735" s="74"/>
      <c r="Q735" s="74"/>
      <c r="R735" s="74"/>
      <c r="S735" s="74"/>
      <c r="T735" s="74"/>
      <c r="U735" s="74"/>
      <c r="V735" s="74"/>
      <c r="W735" s="74"/>
      <c r="X735" s="74"/>
      <c r="Y735" s="74"/>
      <c r="Z735" s="74"/>
    </row>
    <row r="736" spans="1:26" ht="14.4" x14ac:dyDescent="0.3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4"/>
      <c r="L736" s="74"/>
      <c r="M736" s="74"/>
      <c r="N736" s="74"/>
      <c r="O736" s="74"/>
      <c r="P736" s="74"/>
      <c r="Q736" s="74"/>
      <c r="R736" s="74"/>
      <c r="S736" s="74"/>
      <c r="T736" s="74"/>
      <c r="U736" s="74"/>
      <c r="V736" s="74"/>
      <c r="W736" s="74"/>
      <c r="X736" s="74"/>
      <c r="Y736" s="74"/>
      <c r="Z736" s="74"/>
    </row>
    <row r="737" spans="1:26" ht="14.4" x14ac:dyDescent="0.3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4"/>
      <c r="L737" s="74"/>
      <c r="M737" s="74"/>
      <c r="N737" s="74"/>
      <c r="O737" s="74"/>
      <c r="P737" s="74"/>
      <c r="Q737" s="74"/>
      <c r="R737" s="74"/>
      <c r="S737" s="74"/>
      <c r="T737" s="74"/>
      <c r="U737" s="74"/>
      <c r="V737" s="74"/>
      <c r="W737" s="74"/>
      <c r="X737" s="74"/>
      <c r="Y737" s="74"/>
      <c r="Z737" s="74"/>
    </row>
    <row r="738" spans="1:26" ht="14.4" x14ac:dyDescent="0.3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4"/>
      <c r="L738" s="74"/>
      <c r="M738" s="74"/>
      <c r="N738" s="74"/>
      <c r="O738" s="74"/>
      <c r="P738" s="74"/>
      <c r="Q738" s="74"/>
      <c r="R738" s="74"/>
      <c r="S738" s="74"/>
      <c r="T738" s="74"/>
      <c r="U738" s="74"/>
      <c r="V738" s="74"/>
      <c r="W738" s="74"/>
      <c r="X738" s="74"/>
      <c r="Y738" s="74"/>
      <c r="Z738" s="74"/>
    </row>
    <row r="739" spans="1:26" ht="14.4" x14ac:dyDescent="0.3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4"/>
      <c r="L739" s="74"/>
      <c r="M739" s="74"/>
      <c r="N739" s="74"/>
      <c r="O739" s="74"/>
      <c r="P739" s="74"/>
      <c r="Q739" s="74"/>
      <c r="R739" s="74"/>
      <c r="S739" s="74"/>
      <c r="T739" s="74"/>
      <c r="U739" s="74"/>
      <c r="V739" s="74"/>
      <c r="W739" s="74"/>
      <c r="X739" s="74"/>
      <c r="Y739" s="74"/>
      <c r="Z739" s="74"/>
    </row>
    <row r="740" spans="1:26" ht="14.4" x14ac:dyDescent="0.3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4"/>
      <c r="L740" s="74"/>
      <c r="M740" s="74"/>
      <c r="N740" s="74"/>
      <c r="O740" s="74"/>
      <c r="P740" s="74"/>
      <c r="Q740" s="74"/>
      <c r="R740" s="74"/>
      <c r="S740" s="74"/>
      <c r="T740" s="74"/>
      <c r="U740" s="74"/>
      <c r="V740" s="74"/>
      <c r="W740" s="74"/>
      <c r="X740" s="74"/>
      <c r="Y740" s="74"/>
      <c r="Z740" s="74"/>
    </row>
    <row r="741" spans="1:26" ht="14.4" x14ac:dyDescent="0.3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4"/>
      <c r="L741" s="74"/>
      <c r="M741" s="74"/>
      <c r="N741" s="74"/>
      <c r="O741" s="74"/>
      <c r="P741" s="74"/>
      <c r="Q741" s="74"/>
      <c r="R741" s="74"/>
      <c r="S741" s="74"/>
      <c r="T741" s="74"/>
      <c r="U741" s="74"/>
      <c r="V741" s="74"/>
      <c r="W741" s="74"/>
      <c r="X741" s="74"/>
      <c r="Y741" s="74"/>
      <c r="Z741" s="74"/>
    </row>
    <row r="742" spans="1:26" ht="14.4" x14ac:dyDescent="0.3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4"/>
      <c r="L742" s="74"/>
      <c r="M742" s="74"/>
      <c r="N742" s="74"/>
      <c r="O742" s="74"/>
      <c r="P742" s="74"/>
      <c r="Q742" s="74"/>
      <c r="R742" s="74"/>
      <c r="S742" s="74"/>
      <c r="T742" s="74"/>
      <c r="U742" s="74"/>
      <c r="V742" s="74"/>
      <c r="W742" s="74"/>
      <c r="X742" s="74"/>
      <c r="Y742" s="74"/>
      <c r="Z742" s="74"/>
    </row>
    <row r="743" spans="1:26" ht="14.4" x14ac:dyDescent="0.3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4"/>
      <c r="L743" s="74"/>
      <c r="M743" s="74"/>
      <c r="N743" s="74"/>
      <c r="O743" s="74"/>
      <c r="P743" s="74"/>
      <c r="Q743" s="74"/>
      <c r="R743" s="74"/>
      <c r="S743" s="74"/>
      <c r="T743" s="74"/>
      <c r="U743" s="74"/>
      <c r="V743" s="74"/>
      <c r="W743" s="74"/>
      <c r="X743" s="74"/>
      <c r="Y743" s="74"/>
      <c r="Z743" s="74"/>
    </row>
    <row r="744" spans="1:26" ht="14.4" x14ac:dyDescent="0.3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4"/>
      <c r="L744" s="74"/>
      <c r="M744" s="74"/>
      <c r="N744" s="74"/>
      <c r="O744" s="74"/>
      <c r="P744" s="74"/>
      <c r="Q744" s="74"/>
      <c r="R744" s="74"/>
      <c r="S744" s="74"/>
      <c r="T744" s="74"/>
      <c r="U744" s="74"/>
      <c r="V744" s="74"/>
      <c r="W744" s="74"/>
      <c r="X744" s="74"/>
      <c r="Y744" s="74"/>
      <c r="Z744" s="74"/>
    </row>
    <row r="745" spans="1:26" ht="14.4" x14ac:dyDescent="0.3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4"/>
      <c r="L745" s="74"/>
      <c r="M745" s="74"/>
      <c r="N745" s="74"/>
      <c r="O745" s="74"/>
      <c r="P745" s="74"/>
      <c r="Q745" s="74"/>
      <c r="R745" s="74"/>
      <c r="S745" s="74"/>
      <c r="T745" s="74"/>
      <c r="U745" s="74"/>
      <c r="V745" s="74"/>
      <c r="W745" s="74"/>
      <c r="X745" s="74"/>
      <c r="Y745" s="74"/>
      <c r="Z745" s="74"/>
    </row>
    <row r="746" spans="1:26" ht="14.4" x14ac:dyDescent="0.3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4"/>
      <c r="L746" s="74"/>
      <c r="M746" s="74"/>
      <c r="N746" s="74"/>
      <c r="O746" s="74"/>
      <c r="P746" s="74"/>
      <c r="Q746" s="74"/>
      <c r="R746" s="74"/>
      <c r="S746" s="74"/>
      <c r="T746" s="74"/>
      <c r="U746" s="74"/>
      <c r="V746" s="74"/>
      <c r="W746" s="74"/>
      <c r="X746" s="74"/>
      <c r="Y746" s="74"/>
      <c r="Z746" s="74"/>
    </row>
    <row r="747" spans="1:26" ht="14.4" x14ac:dyDescent="0.3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4"/>
      <c r="L747" s="74"/>
      <c r="M747" s="74"/>
      <c r="N747" s="74"/>
      <c r="O747" s="74"/>
      <c r="P747" s="74"/>
      <c r="Q747" s="74"/>
      <c r="R747" s="74"/>
      <c r="S747" s="74"/>
      <c r="T747" s="74"/>
      <c r="U747" s="74"/>
      <c r="V747" s="74"/>
      <c r="W747" s="74"/>
      <c r="X747" s="74"/>
      <c r="Y747" s="74"/>
      <c r="Z747" s="74"/>
    </row>
    <row r="748" spans="1:26" ht="14.4" x14ac:dyDescent="0.3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4"/>
      <c r="L748" s="74"/>
      <c r="M748" s="74"/>
      <c r="N748" s="74"/>
      <c r="O748" s="74"/>
      <c r="P748" s="74"/>
      <c r="Q748" s="74"/>
      <c r="R748" s="74"/>
      <c r="S748" s="74"/>
      <c r="T748" s="74"/>
      <c r="U748" s="74"/>
      <c r="V748" s="74"/>
      <c r="W748" s="74"/>
      <c r="X748" s="74"/>
      <c r="Y748" s="74"/>
      <c r="Z748" s="74"/>
    </row>
    <row r="749" spans="1:26" ht="14.4" x14ac:dyDescent="0.3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4"/>
      <c r="L749" s="74"/>
      <c r="M749" s="74"/>
      <c r="N749" s="74"/>
      <c r="O749" s="74"/>
      <c r="P749" s="74"/>
      <c r="Q749" s="74"/>
      <c r="R749" s="74"/>
      <c r="S749" s="74"/>
      <c r="T749" s="74"/>
      <c r="U749" s="74"/>
      <c r="V749" s="74"/>
      <c r="W749" s="74"/>
      <c r="X749" s="74"/>
      <c r="Y749" s="74"/>
      <c r="Z749" s="74"/>
    </row>
    <row r="750" spans="1:26" ht="14.4" x14ac:dyDescent="0.3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4"/>
      <c r="L750" s="74"/>
      <c r="M750" s="74"/>
      <c r="N750" s="74"/>
      <c r="O750" s="74"/>
      <c r="P750" s="74"/>
      <c r="Q750" s="74"/>
      <c r="R750" s="74"/>
      <c r="S750" s="74"/>
      <c r="T750" s="74"/>
      <c r="U750" s="74"/>
      <c r="V750" s="74"/>
      <c r="W750" s="74"/>
      <c r="X750" s="74"/>
      <c r="Y750" s="74"/>
      <c r="Z750" s="74"/>
    </row>
    <row r="751" spans="1:26" ht="14.4" x14ac:dyDescent="0.3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4"/>
      <c r="L751" s="74"/>
      <c r="M751" s="74"/>
      <c r="N751" s="74"/>
      <c r="O751" s="74"/>
      <c r="P751" s="74"/>
      <c r="Q751" s="74"/>
      <c r="R751" s="74"/>
      <c r="S751" s="74"/>
      <c r="T751" s="74"/>
      <c r="U751" s="74"/>
      <c r="V751" s="74"/>
      <c r="W751" s="74"/>
      <c r="X751" s="74"/>
      <c r="Y751" s="74"/>
      <c r="Z751" s="74"/>
    </row>
    <row r="752" spans="1:26" ht="14.4" x14ac:dyDescent="0.3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4"/>
      <c r="L752" s="74"/>
      <c r="M752" s="74"/>
      <c r="N752" s="74"/>
      <c r="O752" s="74"/>
      <c r="P752" s="74"/>
      <c r="Q752" s="74"/>
      <c r="R752" s="74"/>
      <c r="S752" s="74"/>
      <c r="T752" s="74"/>
      <c r="U752" s="74"/>
      <c r="V752" s="74"/>
      <c r="W752" s="74"/>
      <c r="X752" s="74"/>
      <c r="Y752" s="74"/>
      <c r="Z752" s="74"/>
    </row>
    <row r="753" spans="1:26" ht="14.4" x14ac:dyDescent="0.3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4"/>
      <c r="L753" s="74"/>
      <c r="M753" s="74"/>
      <c r="N753" s="74"/>
      <c r="O753" s="74"/>
      <c r="P753" s="74"/>
      <c r="Q753" s="74"/>
      <c r="R753" s="74"/>
      <c r="S753" s="74"/>
      <c r="T753" s="74"/>
      <c r="U753" s="74"/>
      <c r="V753" s="74"/>
      <c r="W753" s="74"/>
      <c r="X753" s="74"/>
      <c r="Y753" s="74"/>
      <c r="Z753" s="74"/>
    </row>
    <row r="754" spans="1:26" ht="14.4" x14ac:dyDescent="0.3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4"/>
      <c r="L754" s="74"/>
      <c r="M754" s="74"/>
      <c r="N754" s="74"/>
      <c r="O754" s="74"/>
      <c r="P754" s="74"/>
      <c r="Q754" s="74"/>
      <c r="R754" s="74"/>
      <c r="S754" s="74"/>
      <c r="T754" s="74"/>
      <c r="U754" s="74"/>
      <c r="V754" s="74"/>
      <c r="W754" s="74"/>
      <c r="X754" s="74"/>
      <c r="Y754" s="74"/>
      <c r="Z754" s="74"/>
    </row>
    <row r="755" spans="1:26" ht="14.4" x14ac:dyDescent="0.3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4"/>
      <c r="L755" s="74"/>
      <c r="M755" s="74"/>
      <c r="N755" s="74"/>
      <c r="O755" s="74"/>
      <c r="P755" s="74"/>
      <c r="Q755" s="74"/>
      <c r="R755" s="74"/>
      <c r="S755" s="74"/>
      <c r="T755" s="74"/>
      <c r="U755" s="74"/>
      <c r="V755" s="74"/>
      <c r="W755" s="74"/>
      <c r="X755" s="74"/>
      <c r="Y755" s="74"/>
      <c r="Z755" s="74"/>
    </row>
    <row r="756" spans="1:26" ht="14.4" x14ac:dyDescent="0.3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4"/>
      <c r="L756" s="74"/>
      <c r="M756" s="74"/>
      <c r="N756" s="74"/>
      <c r="O756" s="74"/>
      <c r="P756" s="74"/>
      <c r="Q756" s="74"/>
      <c r="R756" s="74"/>
      <c r="S756" s="74"/>
      <c r="T756" s="74"/>
      <c r="U756" s="74"/>
      <c r="V756" s="74"/>
      <c r="W756" s="74"/>
      <c r="X756" s="74"/>
      <c r="Y756" s="74"/>
      <c r="Z756" s="74"/>
    </row>
    <row r="757" spans="1:26" ht="14.4" x14ac:dyDescent="0.3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  <c r="Z757" s="74"/>
    </row>
    <row r="758" spans="1:26" ht="14.4" x14ac:dyDescent="0.3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4"/>
      <c r="L758" s="74"/>
      <c r="M758" s="74"/>
      <c r="N758" s="74"/>
      <c r="O758" s="74"/>
      <c r="P758" s="74"/>
      <c r="Q758" s="74"/>
      <c r="R758" s="74"/>
      <c r="S758" s="74"/>
      <c r="T758" s="74"/>
      <c r="U758" s="74"/>
      <c r="V758" s="74"/>
      <c r="W758" s="74"/>
      <c r="X758" s="74"/>
      <c r="Y758" s="74"/>
      <c r="Z758" s="74"/>
    </row>
    <row r="759" spans="1:26" ht="14.4" x14ac:dyDescent="0.3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4"/>
      <c r="L759" s="74"/>
      <c r="M759" s="74"/>
      <c r="N759" s="74"/>
      <c r="O759" s="74"/>
      <c r="P759" s="74"/>
      <c r="Q759" s="74"/>
      <c r="R759" s="74"/>
      <c r="S759" s="74"/>
      <c r="T759" s="74"/>
      <c r="U759" s="74"/>
      <c r="V759" s="74"/>
      <c r="W759" s="74"/>
      <c r="X759" s="74"/>
      <c r="Y759" s="74"/>
      <c r="Z759" s="74"/>
    </row>
    <row r="760" spans="1:26" ht="14.4" x14ac:dyDescent="0.3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4"/>
      <c r="L760" s="74"/>
      <c r="M760" s="74"/>
      <c r="N760" s="74"/>
      <c r="O760" s="74"/>
      <c r="P760" s="74"/>
      <c r="Q760" s="74"/>
      <c r="R760" s="74"/>
      <c r="S760" s="74"/>
      <c r="T760" s="74"/>
      <c r="U760" s="74"/>
      <c r="V760" s="74"/>
      <c r="W760" s="74"/>
      <c r="X760" s="74"/>
      <c r="Y760" s="74"/>
      <c r="Z760" s="74"/>
    </row>
    <row r="761" spans="1:26" ht="14.4" x14ac:dyDescent="0.3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4"/>
      <c r="L761" s="74"/>
      <c r="M761" s="74"/>
      <c r="N761" s="74"/>
      <c r="O761" s="74"/>
      <c r="P761" s="74"/>
      <c r="Q761" s="74"/>
      <c r="R761" s="74"/>
      <c r="S761" s="74"/>
      <c r="T761" s="74"/>
      <c r="U761" s="74"/>
      <c r="V761" s="74"/>
      <c r="W761" s="74"/>
      <c r="X761" s="74"/>
      <c r="Y761" s="74"/>
      <c r="Z761" s="74"/>
    </row>
    <row r="762" spans="1:26" ht="14.4" x14ac:dyDescent="0.3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4"/>
      <c r="L762" s="74"/>
      <c r="M762" s="74"/>
      <c r="N762" s="74"/>
      <c r="O762" s="74"/>
      <c r="P762" s="74"/>
      <c r="Q762" s="74"/>
      <c r="R762" s="74"/>
      <c r="S762" s="74"/>
      <c r="T762" s="74"/>
      <c r="U762" s="74"/>
      <c r="V762" s="74"/>
      <c r="W762" s="74"/>
      <c r="X762" s="74"/>
      <c r="Y762" s="74"/>
      <c r="Z762" s="74"/>
    </row>
    <row r="763" spans="1:26" ht="14.4" x14ac:dyDescent="0.3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4"/>
      <c r="L763" s="74"/>
      <c r="M763" s="74"/>
      <c r="N763" s="74"/>
      <c r="O763" s="74"/>
      <c r="P763" s="74"/>
      <c r="Q763" s="74"/>
      <c r="R763" s="74"/>
      <c r="S763" s="74"/>
      <c r="T763" s="74"/>
      <c r="U763" s="74"/>
      <c r="V763" s="74"/>
      <c r="W763" s="74"/>
      <c r="X763" s="74"/>
      <c r="Y763" s="74"/>
      <c r="Z763" s="74"/>
    </row>
    <row r="764" spans="1:26" ht="14.4" x14ac:dyDescent="0.3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4"/>
      <c r="L764" s="74"/>
      <c r="M764" s="74"/>
      <c r="N764" s="74"/>
      <c r="O764" s="74"/>
      <c r="P764" s="74"/>
      <c r="Q764" s="74"/>
      <c r="R764" s="74"/>
      <c r="S764" s="74"/>
      <c r="T764" s="74"/>
      <c r="U764" s="74"/>
      <c r="V764" s="74"/>
      <c r="W764" s="74"/>
      <c r="X764" s="74"/>
      <c r="Y764" s="74"/>
      <c r="Z764" s="74"/>
    </row>
    <row r="765" spans="1:26" ht="14.4" x14ac:dyDescent="0.3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4"/>
      <c r="L765" s="74"/>
      <c r="M765" s="74"/>
      <c r="N765" s="74"/>
      <c r="O765" s="74"/>
      <c r="P765" s="74"/>
      <c r="Q765" s="74"/>
      <c r="R765" s="74"/>
      <c r="S765" s="74"/>
      <c r="T765" s="74"/>
      <c r="U765" s="74"/>
      <c r="V765" s="74"/>
      <c r="W765" s="74"/>
      <c r="X765" s="74"/>
      <c r="Y765" s="74"/>
      <c r="Z765" s="74"/>
    </row>
    <row r="766" spans="1:26" ht="14.4" x14ac:dyDescent="0.3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4"/>
      <c r="L766" s="74"/>
      <c r="M766" s="74"/>
      <c r="N766" s="74"/>
      <c r="O766" s="74"/>
      <c r="P766" s="74"/>
      <c r="Q766" s="74"/>
      <c r="R766" s="74"/>
      <c r="S766" s="74"/>
      <c r="T766" s="74"/>
      <c r="U766" s="74"/>
      <c r="V766" s="74"/>
      <c r="W766" s="74"/>
      <c r="X766" s="74"/>
      <c r="Y766" s="74"/>
      <c r="Z766" s="74"/>
    </row>
    <row r="767" spans="1:26" ht="14.4" x14ac:dyDescent="0.3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4"/>
      <c r="L767" s="74"/>
      <c r="M767" s="74"/>
      <c r="N767" s="74"/>
      <c r="O767" s="74"/>
      <c r="P767" s="74"/>
      <c r="Q767" s="74"/>
      <c r="R767" s="74"/>
      <c r="S767" s="74"/>
      <c r="T767" s="74"/>
      <c r="U767" s="74"/>
      <c r="V767" s="74"/>
      <c r="W767" s="74"/>
      <c r="X767" s="74"/>
      <c r="Y767" s="74"/>
      <c r="Z767" s="74"/>
    </row>
    <row r="768" spans="1:26" ht="14.4" x14ac:dyDescent="0.3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4"/>
      <c r="L768" s="74"/>
      <c r="M768" s="74"/>
      <c r="N768" s="74"/>
      <c r="O768" s="74"/>
      <c r="P768" s="74"/>
      <c r="Q768" s="74"/>
      <c r="R768" s="74"/>
      <c r="S768" s="74"/>
      <c r="T768" s="74"/>
      <c r="U768" s="74"/>
      <c r="V768" s="74"/>
      <c r="W768" s="74"/>
      <c r="X768" s="74"/>
      <c r="Y768" s="74"/>
      <c r="Z768" s="74"/>
    </row>
    <row r="769" spans="1:26" ht="14.4" x14ac:dyDescent="0.3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4"/>
      <c r="L769" s="74"/>
      <c r="M769" s="74"/>
      <c r="N769" s="74"/>
      <c r="O769" s="74"/>
      <c r="P769" s="74"/>
      <c r="Q769" s="74"/>
      <c r="R769" s="74"/>
      <c r="S769" s="74"/>
      <c r="T769" s="74"/>
      <c r="U769" s="74"/>
      <c r="V769" s="74"/>
      <c r="W769" s="74"/>
      <c r="X769" s="74"/>
      <c r="Y769" s="74"/>
      <c r="Z769" s="74"/>
    </row>
    <row r="770" spans="1:26" ht="14.4" x14ac:dyDescent="0.3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4"/>
      <c r="L770" s="74"/>
      <c r="M770" s="74"/>
      <c r="N770" s="74"/>
      <c r="O770" s="74"/>
      <c r="P770" s="74"/>
      <c r="Q770" s="74"/>
      <c r="R770" s="74"/>
      <c r="S770" s="74"/>
      <c r="T770" s="74"/>
      <c r="U770" s="74"/>
      <c r="V770" s="74"/>
      <c r="W770" s="74"/>
      <c r="X770" s="74"/>
      <c r="Y770" s="74"/>
      <c r="Z770" s="74"/>
    </row>
    <row r="771" spans="1:26" ht="14.4" x14ac:dyDescent="0.3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4"/>
      <c r="L771" s="74"/>
      <c r="M771" s="74"/>
      <c r="N771" s="74"/>
      <c r="O771" s="74"/>
      <c r="P771" s="74"/>
      <c r="Q771" s="74"/>
      <c r="R771" s="74"/>
      <c r="S771" s="74"/>
      <c r="T771" s="74"/>
      <c r="U771" s="74"/>
      <c r="V771" s="74"/>
      <c r="W771" s="74"/>
      <c r="X771" s="74"/>
      <c r="Y771" s="74"/>
      <c r="Z771" s="74"/>
    </row>
    <row r="772" spans="1:26" ht="14.4" x14ac:dyDescent="0.3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4"/>
      <c r="L772" s="74"/>
      <c r="M772" s="74"/>
      <c r="N772" s="74"/>
      <c r="O772" s="74"/>
      <c r="P772" s="74"/>
      <c r="Q772" s="74"/>
      <c r="R772" s="74"/>
      <c r="S772" s="74"/>
      <c r="T772" s="74"/>
      <c r="U772" s="74"/>
      <c r="V772" s="74"/>
      <c r="W772" s="74"/>
      <c r="X772" s="74"/>
      <c r="Y772" s="74"/>
      <c r="Z772" s="74"/>
    </row>
    <row r="773" spans="1:26" ht="14.4" x14ac:dyDescent="0.3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4"/>
      <c r="L773" s="74"/>
      <c r="M773" s="74"/>
      <c r="N773" s="74"/>
      <c r="O773" s="74"/>
      <c r="P773" s="74"/>
      <c r="Q773" s="74"/>
      <c r="R773" s="74"/>
      <c r="S773" s="74"/>
      <c r="T773" s="74"/>
      <c r="U773" s="74"/>
      <c r="V773" s="74"/>
      <c r="W773" s="74"/>
      <c r="X773" s="74"/>
      <c r="Y773" s="74"/>
      <c r="Z773" s="74"/>
    </row>
    <row r="774" spans="1:26" ht="14.4" x14ac:dyDescent="0.3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4"/>
      <c r="L774" s="74"/>
      <c r="M774" s="74"/>
      <c r="N774" s="74"/>
      <c r="O774" s="74"/>
      <c r="P774" s="74"/>
      <c r="Q774" s="74"/>
      <c r="R774" s="74"/>
      <c r="S774" s="74"/>
      <c r="T774" s="74"/>
      <c r="U774" s="74"/>
      <c r="V774" s="74"/>
      <c r="W774" s="74"/>
      <c r="X774" s="74"/>
      <c r="Y774" s="74"/>
      <c r="Z774" s="74"/>
    </row>
    <row r="775" spans="1:26" ht="14.4" x14ac:dyDescent="0.3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4"/>
      <c r="L775" s="74"/>
      <c r="M775" s="74"/>
      <c r="N775" s="74"/>
      <c r="O775" s="74"/>
      <c r="P775" s="74"/>
      <c r="Q775" s="74"/>
      <c r="R775" s="74"/>
      <c r="S775" s="74"/>
      <c r="T775" s="74"/>
      <c r="U775" s="74"/>
      <c r="V775" s="74"/>
      <c r="W775" s="74"/>
      <c r="X775" s="74"/>
      <c r="Y775" s="74"/>
      <c r="Z775" s="74"/>
    </row>
    <row r="776" spans="1:26" ht="14.4" x14ac:dyDescent="0.3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4"/>
      <c r="L776" s="74"/>
      <c r="M776" s="74"/>
      <c r="N776" s="74"/>
      <c r="O776" s="74"/>
      <c r="P776" s="74"/>
      <c r="Q776" s="74"/>
      <c r="R776" s="74"/>
      <c r="S776" s="74"/>
      <c r="T776" s="74"/>
      <c r="U776" s="74"/>
      <c r="V776" s="74"/>
      <c r="W776" s="74"/>
      <c r="X776" s="74"/>
      <c r="Y776" s="74"/>
      <c r="Z776" s="74"/>
    </row>
    <row r="777" spans="1:26" ht="14.4" x14ac:dyDescent="0.3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4"/>
      <c r="L777" s="74"/>
      <c r="M777" s="74"/>
      <c r="N777" s="74"/>
      <c r="O777" s="74"/>
      <c r="P777" s="74"/>
      <c r="Q777" s="74"/>
      <c r="R777" s="74"/>
      <c r="S777" s="74"/>
      <c r="T777" s="74"/>
      <c r="U777" s="74"/>
      <c r="V777" s="74"/>
      <c r="W777" s="74"/>
      <c r="X777" s="74"/>
      <c r="Y777" s="74"/>
      <c r="Z777" s="74"/>
    </row>
    <row r="778" spans="1:26" ht="14.4" x14ac:dyDescent="0.3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4"/>
      <c r="L778" s="74"/>
      <c r="M778" s="74"/>
      <c r="N778" s="74"/>
      <c r="O778" s="74"/>
      <c r="P778" s="74"/>
      <c r="Q778" s="74"/>
      <c r="R778" s="74"/>
      <c r="S778" s="74"/>
      <c r="T778" s="74"/>
      <c r="U778" s="74"/>
      <c r="V778" s="74"/>
      <c r="W778" s="74"/>
      <c r="X778" s="74"/>
      <c r="Y778" s="74"/>
      <c r="Z778" s="74"/>
    </row>
    <row r="779" spans="1:26" ht="14.4" x14ac:dyDescent="0.3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4"/>
      <c r="L779" s="74"/>
      <c r="M779" s="74"/>
      <c r="N779" s="74"/>
      <c r="O779" s="74"/>
      <c r="P779" s="74"/>
      <c r="Q779" s="74"/>
      <c r="R779" s="74"/>
      <c r="S779" s="74"/>
      <c r="T779" s="74"/>
      <c r="U779" s="74"/>
      <c r="V779" s="74"/>
      <c r="W779" s="74"/>
      <c r="X779" s="74"/>
      <c r="Y779" s="74"/>
      <c r="Z779" s="74"/>
    </row>
    <row r="780" spans="1:26" ht="14.4" x14ac:dyDescent="0.3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  <c r="Z780" s="74"/>
    </row>
    <row r="781" spans="1:26" ht="14.4" x14ac:dyDescent="0.3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4"/>
      <c r="L781" s="74"/>
      <c r="M781" s="74"/>
      <c r="N781" s="74"/>
      <c r="O781" s="74"/>
      <c r="P781" s="74"/>
      <c r="Q781" s="74"/>
      <c r="R781" s="74"/>
      <c r="S781" s="74"/>
      <c r="T781" s="74"/>
      <c r="U781" s="74"/>
      <c r="V781" s="74"/>
      <c r="W781" s="74"/>
      <c r="X781" s="74"/>
      <c r="Y781" s="74"/>
      <c r="Z781" s="74"/>
    </row>
    <row r="782" spans="1:26" ht="14.4" x14ac:dyDescent="0.3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4"/>
      <c r="L782" s="74"/>
      <c r="M782" s="74"/>
      <c r="N782" s="74"/>
      <c r="O782" s="74"/>
      <c r="P782" s="74"/>
      <c r="Q782" s="74"/>
      <c r="R782" s="74"/>
      <c r="S782" s="74"/>
      <c r="T782" s="74"/>
      <c r="U782" s="74"/>
      <c r="V782" s="74"/>
      <c r="W782" s="74"/>
      <c r="X782" s="74"/>
      <c r="Y782" s="74"/>
      <c r="Z782" s="74"/>
    </row>
    <row r="783" spans="1:26" ht="14.4" x14ac:dyDescent="0.3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4"/>
      <c r="L783" s="74"/>
      <c r="M783" s="74"/>
      <c r="N783" s="74"/>
      <c r="O783" s="74"/>
      <c r="P783" s="74"/>
      <c r="Q783" s="74"/>
      <c r="R783" s="74"/>
      <c r="S783" s="74"/>
      <c r="T783" s="74"/>
      <c r="U783" s="74"/>
      <c r="V783" s="74"/>
      <c r="W783" s="74"/>
      <c r="X783" s="74"/>
      <c r="Y783" s="74"/>
      <c r="Z783" s="74"/>
    </row>
    <row r="784" spans="1:26" ht="14.4" x14ac:dyDescent="0.3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4"/>
      <c r="L784" s="74"/>
      <c r="M784" s="74"/>
      <c r="N784" s="74"/>
      <c r="O784" s="74"/>
      <c r="P784" s="74"/>
      <c r="Q784" s="74"/>
      <c r="R784" s="74"/>
      <c r="S784" s="74"/>
      <c r="T784" s="74"/>
      <c r="U784" s="74"/>
      <c r="V784" s="74"/>
      <c r="W784" s="74"/>
      <c r="X784" s="74"/>
      <c r="Y784" s="74"/>
      <c r="Z784" s="74"/>
    </row>
    <row r="785" spans="1:26" ht="14.4" x14ac:dyDescent="0.3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4"/>
      <c r="L785" s="74"/>
      <c r="M785" s="74"/>
      <c r="N785" s="74"/>
      <c r="O785" s="74"/>
      <c r="P785" s="74"/>
      <c r="Q785" s="74"/>
      <c r="R785" s="74"/>
      <c r="S785" s="74"/>
      <c r="T785" s="74"/>
      <c r="U785" s="74"/>
      <c r="V785" s="74"/>
      <c r="W785" s="74"/>
      <c r="X785" s="74"/>
      <c r="Y785" s="74"/>
      <c r="Z785" s="74"/>
    </row>
    <row r="786" spans="1:26" ht="14.4" x14ac:dyDescent="0.3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4"/>
      <c r="L786" s="74"/>
      <c r="M786" s="74"/>
      <c r="N786" s="74"/>
      <c r="O786" s="74"/>
      <c r="P786" s="74"/>
      <c r="Q786" s="74"/>
      <c r="R786" s="74"/>
      <c r="S786" s="74"/>
      <c r="T786" s="74"/>
      <c r="U786" s="74"/>
      <c r="V786" s="74"/>
      <c r="W786" s="74"/>
      <c r="X786" s="74"/>
      <c r="Y786" s="74"/>
      <c r="Z786" s="74"/>
    </row>
    <row r="787" spans="1:26" ht="14.4" x14ac:dyDescent="0.3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4"/>
      <c r="L787" s="74"/>
      <c r="M787" s="74"/>
      <c r="N787" s="74"/>
      <c r="O787" s="74"/>
      <c r="P787" s="74"/>
      <c r="Q787" s="74"/>
      <c r="R787" s="74"/>
      <c r="S787" s="74"/>
      <c r="T787" s="74"/>
      <c r="U787" s="74"/>
      <c r="V787" s="74"/>
      <c r="W787" s="74"/>
      <c r="X787" s="74"/>
      <c r="Y787" s="74"/>
      <c r="Z787" s="74"/>
    </row>
    <row r="788" spans="1:26" ht="14.4" x14ac:dyDescent="0.3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4"/>
      <c r="L788" s="74"/>
      <c r="M788" s="74"/>
      <c r="N788" s="74"/>
      <c r="O788" s="74"/>
      <c r="P788" s="74"/>
      <c r="Q788" s="74"/>
      <c r="R788" s="74"/>
      <c r="S788" s="74"/>
      <c r="T788" s="74"/>
      <c r="U788" s="74"/>
      <c r="V788" s="74"/>
      <c r="W788" s="74"/>
      <c r="X788" s="74"/>
      <c r="Y788" s="74"/>
      <c r="Z788" s="74"/>
    </row>
    <row r="789" spans="1:26" ht="14.4" x14ac:dyDescent="0.3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4"/>
      <c r="L789" s="74"/>
      <c r="M789" s="74"/>
      <c r="N789" s="74"/>
      <c r="O789" s="74"/>
      <c r="P789" s="74"/>
      <c r="Q789" s="74"/>
      <c r="R789" s="74"/>
      <c r="S789" s="74"/>
      <c r="T789" s="74"/>
      <c r="U789" s="74"/>
      <c r="V789" s="74"/>
      <c r="W789" s="74"/>
      <c r="X789" s="74"/>
      <c r="Y789" s="74"/>
      <c r="Z789" s="74"/>
    </row>
    <row r="790" spans="1:26" ht="14.4" x14ac:dyDescent="0.3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4"/>
      <c r="L790" s="74"/>
      <c r="M790" s="74"/>
      <c r="N790" s="74"/>
      <c r="O790" s="74"/>
      <c r="P790" s="74"/>
      <c r="Q790" s="74"/>
      <c r="R790" s="74"/>
      <c r="S790" s="74"/>
      <c r="T790" s="74"/>
      <c r="U790" s="74"/>
      <c r="V790" s="74"/>
      <c r="W790" s="74"/>
      <c r="X790" s="74"/>
      <c r="Y790" s="74"/>
      <c r="Z790" s="74"/>
    </row>
    <row r="791" spans="1:26" ht="14.4" x14ac:dyDescent="0.3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4"/>
      <c r="L791" s="74"/>
      <c r="M791" s="74"/>
      <c r="N791" s="74"/>
      <c r="O791" s="74"/>
      <c r="P791" s="74"/>
      <c r="Q791" s="74"/>
      <c r="R791" s="74"/>
      <c r="S791" s="74"/>
      <c r="T791" s="74"/>
      <c r="U791" s="74"/>
      <c r="V791" s="74"/>
      <c r="W791" s="74"/>
      <c r="X791" s="74"/>
      <c r="Y791" s="74"/>
      <c r="Z791" s="74"/>
    </row>
    <row r="792" spans="1:26" ht="14.4" x14ac:dyDescent="0.3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4"/>
      <c r="L792" s="74"/>
      <c r="M792" s="74"/>
      <c r="N792" s="74"/>
      <c r="O792" s="74"/>
      <c r="P792" s="74"/>
      <c r="Q792" s="74"/>
      <c r="R792" s="74"/>
      <c r="S792" s="74"/>
      <c r="T792" s="74"/>
      <c r="U792" s="74"/>
      <c r="V792" s="74"/>
      <c r="W792" s="74"/>
      <c r="X792" s="74"/>
      <c r="Y792" s="74"/>
      <c r="Z792" s="74"/>
    </row>
    <row r="793" spans="1:26" ht="14.4" x14ac:dyDescent="0.3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4"/>
      <c r="L793" s="74"/>
      <c r="M793" s="74"/>
      <c r="N793" s="74"/>
      <c r="O793" s="74"/>
      <c r="P793" s="74"/>
      <c r="Q793" s="74"/>
      <c r="R793" s="74"/>
      <c r="S793" s="74"/>
      <c r="T793" s="74"/>
      <c r="U793" s="74"/>
      <c r="V793" s="74"/>
      <c r="W793" s="74"/>
      <c r="X793" s="74"/>
      <c r="Y793" s="74"/>
      <c r="Z793" s="74"/>
    </row>
    <row r="794" spans="1:26" ht="14.4" x14ac:dyDescent="0.3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4"/>
      <c r="L794" s="74"/>
      <c r="M794" s="74"/>
      <c r="N794" s="74"/>
      <c r="O794" s="74"/>
      <c r="P794" s="74"/>
      <c r="Q794" s="74"/>
      <c r="R794" s="74"/>
      <c r="S794" s="74"/>
      <c r="T794" s="74"/>
      <c r="U794" s="74"/>
      <c r="V794" s="74"/>
      <c r="W794" s="74"/>
      <c r="X794" s="74"/>
      <c r="Y794" s="74"/>
      <c r="Z794" s="74"/>
    </row>
    <row r="795" spans="1:26" ht="14.4" x14ac:dyDescent="0.3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4"/>
      <c r="L795" s="74"/>
      <c r="M795" s="74"/>
      <c r="N795" s="74"/>
      <c r="O795" s="74"/>
      <c r="P795" s="74"/>
      <c r="Q795" s="74"/>
      <c r="R795" s="74"/>
      <c r="S795" s="74"/>
      <c r="T795" s="74"/>
      <c r="U795" s="74"/>
      <c r="V795" s="74"/>
      <c r="W795" s="74"/>
      <c r="X795" s="74"/>
      <c r="Y795" s="74"/>
      <c r="Z795" s="74"/>
    </row>
    <row r="796" spans="1:26" ht="14.4" x14ac:dyDescent="0.3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4"/>
      <c r="L796" s="74"/>
      <c r="M796" s="74"/>
      <c r="N796" s="74"/>
      <c r="O796" s="74"/>
      <c r="P796" s="74"/>
      <c r="Q796" s="74"/>
      <c r="R796" s="74"/>
      <c r="S796" s="74"/>
      <c r="T796" s="74"/>
      <c r="U796" s="74"/>
      <c r="V796" s="74"/>
      <c r="W796" s="74"/>
      <c r="X796" s="74"/>
      <c r="Y796" s="74"/>
      <c r="Z796" s="74"/>
    </row>
    <row r="797" spans="1:26" ht="14.4" x14ac:dyDescent="0.3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4"/>
      <c r="L797" s="74"/>
      <c r="M797" s="74"/>
      <c r="N797" s="74"/>
      <c r="O797" s="74"/>
      <c r="P797" s="74"/>
      <c r="Q797" s="74"/>
      <c r="R797" s="74"/>
      <c r="S797" s="74"/>
      <c r="T797" s="74"/>
      <c r="U797" s="74"/>
      <c r="V797" s="74"/>
      <c r="W797" s="74"/>
      <c r="X797" s="74"/>
      <c r="Y797" s="74"/>
      <c r="Z797" s="74"/>
    </row>
    <row r="798" spans="1:26" ht="14.4" x14ac:dyDescent="0.3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4"/>
      <c r="L798" s="74"/>
      <c r="M798" s="74"/>
      <c r="N798" s="74"/>
      <c r="O798" s="74"/>
      <c r="P798" s="74"/>
      <c r="Q798" s="74"/>
      <c r="R798" s="74"/>
      <c r="S798" s="74"/>
      <c r="T798" s="74"/>
      <c r="U798" s="74"/>
      <c r="V798" s="74"/>
      <c r="W798" s="74"/>
      <c r="X798" s="74"/>
      <c r="Y798" s="74"/>
      <c r="Z798" s="74"/>
    </row>
    <row r="799" spans="1:26" ht="14.4" x14ac:dyDescent="0.3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4"/>
      <c r="L799" s="74"/>
      <c r="M799" s="74"/>
      <c r="N799" s="74"/>
      <c r="O799" s="74"/>
      <c r="P799" s="74"/>
      <c r="Q799" s="74"/>
      <c r="R799" s="74"/>
      <c r="S799" s="74"/>
      <c r="T799" s="74"/>
      <c r="U799" s="74"/>
      <c r="V799" s="74"/>
      <c r="W799" s="74"/>
      <c r="X799" s="74"/>
      <c r="Y799" s="74"/>
      <c r="Z799" s="74"/>
    </row>
    <row r="800" spans="1:26" ht="14.4" x14ac:dyDescent="0.3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4"/>
      <c r="L800" s="74"/>
      <c r="M800" s="74"/>
      <c r="N800" s="74"/>
      <c r="O800" s="74"/>
      <c r="P800" s="74"/>
      <c r="Q800" s="74"/>
      <c r="R800" s="74"/>
      <c r="S800" s="74"/>
      <c r="T800" s="74"/>
      <c r="U800" s="74"/>
      <c r="V800" s="74"/>
      <c r="W800" s="74"/>
      <c r="X800" s="74"/>
      <c r="Y800" s="74"/>
      <c r="Z800" s="74"/>
    </row>
    <row r="801" spans="1:26" ht="14.4" x14ac:dyDescent="0.3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4"/>
      <c r="L801" s="74"/>
      <c r="M801" s="74"/>
      <c r="N801" s="74"/>
      <c r="O801" s="74"/>
      <c r="P801" s="74"/>
      <c r="Q801" s="74"/>
      <c r="R801" s="74"/>
      <c r="S801" s="74"/>
      <c r="T801" s="74"/>
      <c r="U801" s="74"/>
      <c r="V801" s="74"/>
      <c r="W801" s="74"/>
      <c r="X801" s="74"/>
      <c r="Y801" s="74"/>
      <c r="Z801" s="74"/>
    </row>
    <row r="802" spans="1:26" ht="14.4" x14ac:dyDescent="0.3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4"/>
      <c r="L802" s="74"/>
      <c r="M802" s="74"/>
      <c r="N802" s="74"/>
      <c r="O802" s="74"/>
      <c r="P802" s="74"/>
      <c r="Q802" s="74"/>
      <c r="R802" s="74"/>
      <c r="S802" s="74"/>
      <c r="T802" s="74"/>
      <c r="U802" s="74"/>
      <c r="V802" s="74"/>
      <c r="W802" s="74"/>
      <c r="X802" s="74"/>
      <c r="Y802" s="74"/>
      <c r="Z802" s="74"/>
    </row>
    <row r="803" spans="1:26" ht="14.4" x14ac:dyDescent="0.3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4"/>
      <c r="L803" s="74"/>
      <c r="M803" s="74"/>
      <c r="N803" s="74"/>
      <c r="O803" s="74"/>
      <c r="P803" s="74"/>
      <c r="Q803" s="74"/>
      <c r="R803" s="74"/>
      <c r="S803" s="74"/>
      <c r="T803" s="74"/>
      <c r="U803" s="74"/>
      <c r="V803" s="74"/>
      <c r="W803" s="74"/>
      <c r="X803" s="74"/>
      <c r="Y803" s="74"/>
      <c r="Z803" s="74"/>
    </row>
    <row r="804" spans="1:26" ht="14.4" x14ac:dyDescent="0.3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4"/>
      <c r="L804" s="74"/>
      <c r="M804" s="74"/>
      <c r="N804" s="74"/>
      <c r="O804" s="74"/>
      <c r="P804" s="74"/>
      <c r="Q804" s="74"/>
      <c r="R804" s="74"/>
      <c r="S804" s="74"/>
      <c r="T804" s="74"/>
      <c r="U804" s="74"/>
      <c r="V804" s="74"/>
      <c r="W804" s="74"/>
      <c r="X804" s="74"/>
      <c r="Y804" s="74"/>
      <c r="Z804" s="74"/>
    </row>
    <row r="805" spans="1:26" ht="14.4" x14ac:dyDescent="0.3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4"/>
      <c r="L805" s="74"/>
      <c r="M805" s="74"/>
      <c r="N805" s="74"/>
      <c r="O805" s="74"/>
      <c r="P805" s="74"/>
      <c r="Q805" s="74"/>
      <c r="R805" s="74"/>
      <c r="S805" s="74"/>
      <c r="T805" s="74"/>
      <c r="U805" s="74"/>
      <c r="V805" s="74"/>
      <c r="W805" s="74"/>
      <c r="X805" s="74"/>
      <c r="Y805" s="74"/>
      <c r="Z805" s="74"/>
    </row>
    <row r="806" spans="1:26" ht="14.4" x14ac:dyDescent="0.3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  <c r="Z806" s="74"/>
    </row>
    <row r="807" spans="1:26" ht="14.4" x14ac:dyDescent="0.3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4"/>
      <c r="L807" s="74"/>
      <c r="M807" s="74"/>
      <c r="N807" s="74"/>
      <c r="O807" s="74"/>
      <c r="P807" s="74"/>
      <c r="Q807" s="74"/>
      <c r="R807" s="74"/>
      <c r="S807" s="74"/>
      <c r="T807" s="74"/>
      <c r="U807" s="74"/>
      <c r="V807" s="74"/>
      <c r="W807" s="74"/>
      <c r="X807" s="74"/>
      <c r="Y807" s="74"/>
      <c r="Z807" s="74"/>
    </row>
    <row r="808" spans="1:26" ht="14.4" x14ac:dyDescent="0.3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4"/>
      <c r="L808" s="74"/>
      <c r="M808" s="74"/>
      <c r="N808" s="74"/>
      <c r="O808" s="74"/>
      <c r="P808" s="74"/>
      <c r="Q808" s="74"/>
      <c r="R808" s="74"/>
      <c r="S808" s="74"/>
      <c r="T808" s="74"/>
      <c r="U808" s="74"/>
      <c r="V808" s="74"/>
      <c r="W808" s="74"/>
      <c r="X808" s="74"/>
      <c r="Y808" s="74"/>
      <c r="Z808" s="74"/>
    </row>
    <row r="809" spans="1:26" ht="14.4" x14ac:dyDescent="0.3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4"/>
      <c r="L809" s="74"/>
      <c r="M809" s="74"/>
      <c r="N809" s="74"/>
      <c r="O809" s="74"/>
      <c r="P809" s="74"/>
      <c r="Q809" s="74"/>
      <c r="R809" s="74"/>
      <c r="S809" s="74"/>
      <c r="T809" s="74"/>
      <c r="U809" s="74"/>
      <c r="V809" s="74"/>
      <c r="W809" s="74"/>
      <c r="X809" s="74"/>
      <c r="Y809" s="74"/>
      <c r="Z809" s="74"/>
    </row>
    <row r="810" spans="1:26" ht="14.4" x14ac:dyDescent="0.3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4"/>
      <c r="L810" s="74"/>
      <c r="M810" s="74"/>
      <c r="N810" s="74"/>
      <c r="O810" s="74"/>
      <c r="P810" s="74"/>
      <c r="Q810" s="74"/>
      <c r="R810" s="74"/>
      <c r="S810" s="74"/>
      <c r="T810" s="74"/>
      <c r="U810" s="74"/>
      <c r="V810" s="74"/>
      <c r="W810" s="74"/>
      <c r="X810" s="74"/>
      <c r="Y810" s="74"/>
      <c r="Z810" s="74"/>
    </row>
    <row r="811" spans="1:26" ht="14.4" x14ac:dyDescent="0.3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4"/>
      <c r="L811" s="74"/>
      <c r="M811" s="74"/>
      <c r="N811" s="74"/>
      <c r="O811" s="74"/>
      <c r="P811" s="74"/>
      <c r="Q811" s="74"/>
      <c r="R811" s="74"/>
      <c r="S811" s="74"/>
      <c r="T811" s="74"/>
      <c r="U811" s="74"/>
      <c r="V811" s="74"/>
      <c r="W811" s="74"/>
      <c r="X811" s="74"/>
      <c r="Y811" s="74"/>
      <c r="Z811" s="74"/>
    </row>
    <row r="812" spans="1:26" ht="14.4" x14ac:dyDescent="0.3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4"/>
      <c r="L812" s="74"/>
      <c r="M812" s="74"/>
      <c r="N812" s="74"/>
      <c r="O812" s="74"/>
      <c r="P812" s="74"/>
      <c r="Q812" s="74"/>
      <c r="R812" s="74"/>
      <c r="S812" s="74"/>
      <c r="T812" s="74"/>
      <c r="U812" s="74"/>
      <c r="V812" s="74"/>
      <c r="W812" s="74"/>
      <c r="X812" s="74"/>
      <c r="Y812" s="74"/>
      <c r="Z812" s="74"/>
    </row>
    <row r="813" spans="1:26" ht="14.4" x14ac:dyDescent="0.3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4"/>
      <c r="L813" s="74"/>
      <c r="M813" s="74"/>
      <c r="N813" s="74"/>
      <c r="O813" s="74"/>
      <c r="P813" s="74"/>
      <c r="Q813" s="74"/>
      <c r="R813" s="74"/>
      <c r="S813" s="74"/>
      <c r="T813" s="74"/>
      <c r="U813" s="74"/>
      <c r="V813" s="74"/>
      <c r="W813" s="74"/>
      <c r="X813" s="74"/>
      <c r="Y813" s="74"/>
      <c r="Z813" s="74"/>
    </row>
    <row r="814" spans="1:26" ht="14.4" x14ac:dyDescent="0.3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4"/>
      <c r="L814" s="74"/>
      <c r="M814" s="74"/>
      <c r="N814" s="74"/>
      <c r="O814" s="74"/>
      <c r="P814" s="74"/>
      <c r="Q814" s="74"/>
      <c r="R814" s="74"/>
      <c r="S814" s="74"/>
      <c r="T814" s="74"/>
      <c r="U814" s="74"/>
      <c r="V814" s="74"/>
      <c r="W814" s="74"/>
      <c r="X814" s="74"/>
      <c r="Y814" s="74"/>
      <c r="Z814" s="74"/>
    </row>
    <row r="815" spans="1:26" ht="14.4" x14ac:dyDescent="0.3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4"/>
      <c r="L815" s="74"/>
      <c r="M815" s="74"/>
      <c r="N815" s="74"/>
      <c r="O815" s="74"/>
      <c r="P815" s="74"/>
      <c r="Q815" s="74"/>
      <c r="R815" s="74"/>
      <c r="S815" s="74"/>
      <c r="T815" s="74"/>
      <c r="U815" s="74"/>
      <c r="V815" s="74"/>
      <c r="W815" s="74"/>
      <c r="X815" s="74"/>
      <c r="Y815" s="74"/>
      <c r="Z815" s="74"/>
    </row>
    <row r="816" spans="1:26" ht="14.4" x14ac:dyDescent="0.3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4"/>
      <c r="L816" s="74"/>
      <c r="M816" s="74"/>
      <c r="N816" s="74"/>
      <c r="O816" s="74"/>
      <c r="P816" s="74"/>
      <c r="Q816" s="74"/>
      <c r="R816" s="74"/>
      <c r="S816" s="74"/>
      <c r="T816" s="74"/>
      <c r="U816" s="74"/>
      <c r="V816" s="74"/>
      <c r="W816" s="74"/>
      <c r="X816" s="74"/>
      <c r="Y816" s="74"/>
      <c r="Z816" s="74"/>
    </row>
    <row r="817" spans="1:26" ht="14.4" x14ac:dyDescent="0.3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4"/>
      <c r="L817" s="74"/>
      <c r="M817" s="74"/>
      <c r="N817" s="74"/>
      <c r="O817" s="74"/>
      <c r="P817" s="74"/>
      <c r="Q817" s="74"/>
      <c r="R817" s="74"/>
      <c r="S817" s="74"/>
      <c r="T817" s="74"/>
      <c r="U817" s="74"/>
      <c r="V817" s="74"/>
      <c r="W817" s="74"/>
      <c r="X817" s="74"/>
      <c r="Y817" s="74"/>
      <c r="Z817" s="74"/>
    </row>
    <row r="818" spans="1:26" ht="14.4" x14ac:dyDescent="0.3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4"/>
      <c r="L818" s="74"/>
      <c r="M818" s="74"/>
      <c r="N818" s="74"/>
      <c r="O818" s="74"/>
      <c r="P818" s="74"/>
      <c r="Q818" s="74"/>
      <c r="R818" s="74"/>
      <c r="S818" s="74"/>
      <c r="T818" s="74"/>
      <c r="U818" s="74"/>
      <c r="V818" s="74"/>
      <c r="W818" s="74"/>
      <c r="X818" s="74"/>
      <c r="Y818" s="74"/>
      <c r="Z818" s="74"/>
    </row>
    <row r="819" spans="1:26" ht="14.4" x14ac:dyDescent="0.3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4"/>
      <c r="L819" s="74"/>
      <c r="M819" s="74"/>
      <c r="N819" s="74"/>
      <c r="O819" s="74"/>
      <c r="P819" s="74"/>
      <c r="Q819" s="74"/>
      <c r="R819" s="74"/>
      <c r="S819" s="74"/>
      <c r="T819" s="74"/>
      <c r="U819" s="74"/>
      <c r="V819" s="74"/>
      <c r="W819" s="74"/>
      <c r="X819" s="74"/>
      <c r="Y819" s="74"/>
      <c r="Z819" s="74"/>
    </row>
    <row r="820" spans="1:26" ht="14.4" x14ac:dyDescent="0.3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4"/>
      <c r="L820" s="74"/>
      <c r="M820" s="74"/>
      <c r="N820" s="74"/>
      <c r="O820" s="74"/>
      <c r="P820" s="74"/>
      <c r="Q820" s="74"/>
      <c r="R820" s="74"/>
      <c r="S820" s="74"/>
      <c r="T820" s="74"/>
      <c r="U820" s="74"/>
      <c r="V820" s="74"/>
      <c r="W820" s="74"/>
      <c r="X820" s="74"/>
      <c r="Y820" s="74"/>
      <c r="Z820" s="74"/>
    </row>
    <row r="821" spans="1:26" ht="14.4" x14ac:dyDescent="0.3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4"/>
      <c r="L821" s="74"/>
      <c r="M821" s="74"/>
      <c r="N821" s="74"/>
      <c r="O821" s="74"/>
      <c r="P821" s="74"/>
      <c r="Q821" s="74"/>
      <c r="R821" s="74"/>
      <c r="S821" s="74"/>
      <c r="T821" s="74"/>
      <c r="U821" s="74"/>
      <c r="V821" s="74"/>
      <c r="W821" s="74"/>
      <c r="X821" s="74"/>
      <c r="Y821" s="74"/>
      <c r="Z821" s="74"/>
    </row>
    <row r="822" spans="1:26" ht="14.4" x14ac:dyDescent="0.3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4"/>
      <c r="L822" s="74"/>
      <c r="M822" s="74"/>
      <c r="N822" s="74"/>
      <c r="O822" s="74"/>
      <c r="P822" s="74"/>
      <c r="Q822" s="74"/>
      <c r="R822" s="74"/>
      <c r="S822" s="74"/>
      <c r="T822" s="74"/>
      <c r="U822" s="74"/>
      <c r="V822" s="74"/>
      <c r="W822" s="74"/>
      <c r="X822" s="74"/>
      <c r="Y822" s="74"/>
      <c r="Z822" s="74"/>
    </row>
    <row r="823" spans="1:26" ht="14.4" x14ac:dyDescent="0.3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4"/>
      <c r="L823" s="74"/>
      <c r="M823" s="74"/>
      <c r="N823" s="74"/>
      <c r="O823" s="74"/>
      <c r="P823" s="74"/>
      <c r="Q823" s="74"/>
      <c r="R823" s="74"/>
      <c r="S823" s="74"/>
      <c r="T823" s="74"/>
      <c r="U823" s="74"/>
      <c r="V823" s="74"/>
      <c r="W823" s="74"/>
      <c r="X823" s="74"/>
      <c r="Y823" s="74"/>
      <c r="Z823" s="74"/>
    </row>
    <row r="824" spans="1:26" ht="14.4" x14ac:dyDescent="0.3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4"/>
      <c r="L824" s="74"/>
      <c r="M824" s="74"/>
      <c r="N824" s="74"/>
      <c r="O824" s="74"/>
      <c r="P824" s="74"/>
      <c r="Q824" s="74"/>
      <c r="R824" s="74"/>
      <c r="S824" s="74"/>
      <c r="T824" s="74"/>
      <c r="U824" s="74"/>
      <c r="V824" s="74"/>
      <c r="W824" s="74"/>
      <c r="X824" s="74"/>
      <c r="Y824" s="74"/>
      <c r="Z824" s="74"/>
    </row>
    <row r="825" spans="1:26" ht="14.4" x14ac:dyDescent="0.3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4"/>
      <c r="L825" s="74"/>
      <c r="M825" s="74"/>
      <c r="N825" s="74"/>
      <c r="O825" s="74"/>
      <c r="P825" s="74"/>
      <c r="Q825" s="74"/>
      <c r="R825" s="74"/>
      <c r="S825" s="74"/>
      <c r="T825" s="74"/>
      <c r="U825" s="74"/>
      <c r="V825" s="74"/>
      <c r="W825" s="74"/>
      <c r="X825" s="74"/>
      <c r="Y825" s="74"/>
      <c r="Z825" s="74"/>
    </row>
    <row r="826" spans="1:26" ht="14.4" x14ac:dyDescent="0.3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4"/>
      <c r="L826" s="74"/>
      <c r="M826" s="74"/>
      <c r="N826" s="74"/>
      <c r="O826" s="74"/>
      <c r="P826" s="74"/>
      <c r="Q826" s="74"/>
      <c r="R826" s="74"/>
      <c r="S826" s="74"/>
      <c r="T826" s="74"/>
      <c r="U826" s="74"/>
      <c r="V826" s="74"/>
      <c r="W826" s="74"/>
      <c r="X826" s="74"/>
      <c r="Y826" s="74"/>
      <c r="Z826" s="74"/>
    </row>
    <row r="827" spans="1:26" ht="14.4" x14ac:dyDescent="0.3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4"/>
      <c r="L827" s="74"/>
      <c r="M827" s="74"/>
      <c r="N827" s="74"/>
      <c r="O827" s="74"/>
      <c r="P827" s="74"/>
      <c r="Q827" s="74"/>
      <c r="R827" s="74"/>
      <c r="S827" s="74"/>
      <c r="T827" s="74"/>
      <c r="U827" s="74"/>
      <c r="V827" s="74"/>
      <c r="W827" s="74"/>
      <c r="X827" s="74"/>
      <c r="Y827" s="74"/>
      <c r="Z827" s="74"/>
    </row>
    <row r="828" spans="1:26" ht="14.4" x14ac:dyDescent="0.3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  <c r="Z828" s="74"/>
    </row>
    <row r="829" spans="1:26" ht="14.4" x14ac:dyDescent="0.3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4"/>
      <c r="L829" s="74"/>
      <c r="M829" s="74"/>
      <c r="N829" s="74"/>
      <c r="O829" s="74"/>
      <c r="P829" s="74"/>
      <c r="Q829" s="74"/>
      <c r="R829" s="74"/>
      <c r="S829" s="74"/>
      <c r="T829" s="74"/>
      <c r="U829" s="74"/>
      <c r="V829" s="74"/>
      <c r="W829" s="74"/>
      <c r="X829" s="74"/>
      <c r="Y829" s="74"/>
      <c r="Z829" s="74"/>
    </row>
    <row r="830" spans="1:26" ht="14.4" x14ac:dyDescent="0.3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4"/>
      <c r="L830" s="74"/>
      <c r="M830" s="74"/>
      <c r="N830" s="74"/>
      <c r="O830" s="74"/>
      <c r="P830" s="74"/>
      <c r="Q830" s="74"/>
      <c r="R830" s="74"/>
      <c r="S830" s="74"/>
      <c r="T830" s="74"/>
      <c r="U830" s="74"/>
      <c r="V830" s="74"/>
      <c r="W830" s="74"/>
      <c r="X830" s="74"/>
      <c r="Y830" s="74"/>
      <c r="Z830" s="74"/>
    </row>
    <row r="831" spans="1:26" ht="14.4" x14ac:dyDescent="0.3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4"/>
      <c r="L831" s="74"/>
      <c r="M831" s="74"/>
      <c r="N831" s="74"/>
      <c r="O831" s="74"/>
      <c r="P831" s="74"/>
      <c r="Q831" s="74"/>
      <c r="R831" s="74"/>
      <c r="S831" s="74"/>
      <c r="T831" s="74"/>
      <c r="U831" s="74"/>
      <c r="V831" s="74"/>
      <c r="W831" s="74"/>
      <c r="X831" s="74"/>
      <c r="Y831" s="74"/>
      <c r="Z831" s="74"/>
    </row>
    <row r="832" spans="1:26" ht="14.4" x14ac:dyDescent="0.3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4"/>
      <c r="L832" s="74"/>
      <c r="M832" s="74"/>
      <c r="N832" s="74"/>
      <c r="O832" s="74"/>
      <c r="P832" s="74"/>
      <c r="Q832" s="74"/>
      <c r="R832" s="74"/>
      <c r="S832" s="74"/>
      <c r="T832" s="74"/>
      <c r="U832" s="74"/>
      <c r="V832" s="74"/>
      <c r="W832" s="74"/>
      <c r="X832" s="74"/>
      <c r="Y832" s="74"/>
      <c r="Z832" s="74"/>
    </row>
    <row r="833" spans="1:26" ht="14.4" x14ac:dyDescent="0.3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4"/>
      <c r="L833" s="74"/>
      <c r="M833" s="74"/>
      <c r="N833" s="74"/>
      <c r="O833" s="74"/>
      <c r="P833" s="74"/>
      <c r="Q833" s="74"/>
      <c r="R833" s="74"/>
      <c r="S833" s="74"/>
      <c r="T833" s="74"/>
      <c r="U833" s="74"/>
      <c r="V833" s="74"/>
      <c r="W833" s="74"/>
      <c r="X833" s="74"/>
      <c r="Y833" s="74"/>
      <c r="Z833" s="74"/>
    </row>
    <row r="834" spans="1:26" ht="14.4" x14ac:dyDescent="0.3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4"/>
      <c r="L834" s="74"/>
      <c r="M834" s="74"/>
      <c r="N834" s="74"/>
      <c r="O834" s="74"/>
      <c r="P834" s="74"/>
      <c r="Q834" s="74"/>
      <c r="R834" s="74"/>
      <c r="S834" s="74"/>
      <c r="T834" s="74"/>
      <c r="U834" s="74"/>
      <c r="V834" s="74"/>
      <c r="W834" s="74"/>
      <c r="X834" s="74"/>
      <c r="Y834" s="74"/>
      <c r="Z834" s="74"/>
    </row>
    <row r="835" spans="1:26" ht="14.4" x14ac:dyDescent="0.3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4"/>
      <c r="L835" s="74"/>
      <c r="M835" s="74"/>
      <c r="N835" s="74"/>
      <c r="O835" s="74"/>
      <c r="P835" s="74"/>
      <c r="Q835" s="74"/>
      <c r="R835" s="74"/>
      <c r="S835" s="74"/>
      <c r="T835" s="74"/>
      <c r="U835" s="74"/>
      <c r="V835" s="74"/>
      <c r="W835" s="74"/>
      <c r="X835" s="74"/>
      <c r="Y835" s="74"/>
      <c r="Z835" s="74"/>
    </row>
    <row r="836" spans="1:26" ht="14.4" x14ac:dyDescent="0.3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4"/>
      <c r="L836" s="74"/>
      <c r="M836" s="74"/>
      <c r="N836" s="74"/>
      <c r="O836" s="74"/>
      <c r="P836" s="74"/>
      <c r="Q836" s="74"/>
      <c r="R836" s="74"/>
      <c r="S836" s="74"/>
      <c r="T836" s="74"/>
      <c r="U836" s="74"/>
      <c r="V836" s="74"/>
      <c r="W836" s="74"/>
      <c r="X836" s="74"/>
      <c r="Y836" s="74"/>
      <c r="Z836" s="74"/>
    </row>
    <row r="837" spans="1:26" ht="14.4" x14ac:dyDescent="0.3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4"/>
      <c r="L837" s="74"/>
      <c r="M837" s="74"/>
      <c r="N837" s="74"/>
      <c r="O837" s="74"/>
      <c r="P837" s="74"/>
      <c r="Q837" s="74"/>
      <c r="R837" s="74"/>
      <c r="S837" s="74"/>
      <c r="T837" s="74"/>
      <c r="U837" s="74"/>
      <c r="V837" s="74"/>
      <c r="W837" s="74"/>
      <c r="X837" s="74"/>
      <c r="Y837" s="74"/>
      <c r="Z837" s="74"/>
    </row>
    <row r="838" spans="1:26" ht="14.4" x14ac:dyDescent="0.3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4"/>
      <c r="L838" s="74"/>
      <c r="M838" s="74"/>
      <c r="N838" s="74"/>
      <c r="O838" s="74"/>
      <c r="P838" s="74"/>
      <c r="Q838" s="74"/>
      <c r="R838" s="74"/>
      <c r="S838" s="74"/>
      <c r="T838" s="74"/>
      <c r="U838" s="74"/>
      <c r="V838" s="74"/>
      <c r="W838" s="74"/>
      <c r="X838" s="74"/>
      <c r="Y838" s="74"/>
      <c r="Z838" s="74"/>
    </row>
    <row r="839" spans="1:26" ht="14.4" x14ac:dyDescent="0.3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4"/>
      <c r="L839" s="74"/>
      <c r="M839" s="74"/>
      <c r="N839" s="74"/>
      <c r="O839" s="74"/>
      <c r="P839" s="74"/>
      <c r="Q839" s="74"/>
      <c r="R839" s="74"/>
      <c r="S839" s="74"/>
      <c r="T839" s="74"/>
      <c r="U839" s="74"/>
      <c r="V839" s="74"/>
      <c r="W839" s="74"/>
      <c r="X839" s="74"/>
      <c r="Y839" s="74"/>
      <c r="Z839" s="74"/>
    </row>
    <row r="840" spans="1:26" ht="14.4" x14ac:dyDescent="0.3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4"/>
      <c r="L840" s="74"/>
      <c r="M840" s="74"/>
      <c r="N840" s="74"/>
      <c r="O840" s="74"/>
      <c r="P840" s="74"/>
      <c r="Q840" s="74"/>
      <c r="R840" s="74"/>
      <c r="S840" s="74"/>
      <c r="T840" s="74"/>
      <c r="U840" s="74"/>
      <c r="V840" s="74"/>
      <c r="W840" s="74"/>
      <c r="X840" s="74"/>
      <c r="Y840" s="74"/>
      <c r="Z840" s="74"/>
    </row>
    <row r="841" spans="1:26" ht="14.4" x14ac:dyDescent="0.3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4"/>
      <c r="L841" s="74"/>
      <c r="M841" s="74"/>
      <c r="N841" s="74"/>
      <c r="O841" s="74"/>
      <c r="P841" s="74"/>
      <c r="Q841" s="74"/>
      <c r="R841" s="74"/>
      <c r="S841" s="74"/>
      <c r="T841" s="74"/>
      <c r="U841" s="74"/>
      <c r="V841" s="74"/>
      <c r="W841" s="74"/>
      <c r="X841" s="74"/>
      <c r="Y841" s="74"/>
      <c r="Z841" s="74"/>
    </row>
    <row r="842" spans="1:26" ht="14.4" x14ac:dyDescent="0.3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4"/>
      <c r="L842" s="74"/>
      <c r="M842" s="74"/>
      <c r="N842" s="74"/>
      <c r="O842" s="74"/>
      <c r="P842" s="74"/>
      <c r="Q842" s="74"/>
      <c r="R842" s="74"/>
      <c r="S842" s="74"/>
      <c r="T842" s="74"/>
      <c r="U842" s="74"/>
      <c r="V842" s="74"/>
      <c r="W842" s="74"/>
      <c r="X842" s="74"/>
      <c r="Y842" s="74"/>
      <c r="Z842" s="74"/>
    </row>
    <row r="843" spans="1:26" ht="14.4" x14ac:dyDescent="0.3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4"/>
      <c r="L843" s="74"/>
      <c r="M843" s="74"/>
      <c r="N843" s="74"/>
      <c r="O843" s="74"/>
      <c r="P843" s="74"/>
      <c r="Q843" s="74"/>
      <c r="R843" s="74"/>
      <c r="S843" s="74"/>
      <c r="T843" s="74"/>
      <c r="U843" s="74"/>
      <c r="V843" s="74"/>
      <c r="W843" s="74"/>
      <c r="X843" s="74"/>
      <c r="Y843" s="74"/>
      <c r="Z843" s="74"/>
    </row>
    <row r="844" spans="1:26" ht="14.4" x14ac:dyDescent="0.3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4"/>
      <c r="L844" s="74"/>
      <c r="M844" s="74"/>
      <c r="N844" s="74"/>
      <c r="O844" s="74"/>
      <c r="P844" s="74"/>
      <c r="Q844" s="74"/>
      <c r="R844" s="74"/>
      <c r="S844" s="74"/>
      <c r="T844" s="74"/>
      <c r="U844" s="74"/>
      <c r="V844" s="74"/>
      <c r="W844" s="74"/>
      <c r="X844" s="74"/>
      <c r="Y844" s="74"/>
      <c r="Z844" s="74"/>
    </row>
    <row r="845" spans="1:26" ht="14.4" x14ac:dyDescent="0.3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4"/>
      <c r="L845" s="74"/>
      <c r="M845" s="74"/>
      <c r="N845" s="74"/>
      <c r="O845" s="74"/>
      <c r="P845" s="74"/>
      <c r="Q845" s="74"/>
      <c r="R845" s="74"/>
      <c r="S845" s="74"/>
      <c r="T845" s="74"/>
      <c r="U845" s="74"/>
      <c r="V845" s="74"/>
      <c r="W845" s="74"/>
      <c r="X845" s="74"/>
      <c r="Y845" s="74"/>
      <c r="Z845" s="74"/>
    </row>
    <row r="846" spans="1:26" ht="14.4" x14ac:dyDescent="0.3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4"/>
      <c r="L846" s="74"/>
      <c r="M846" s="74"/>
      <c r="N846" s="74"/>
      <c r="O846" s="74"/>
      <c r="P846" s="74"/>
      <c r="Q846" s="74"/>
      <c r="R846" s="74"/>
      <c r="S846" s="74"/>
      <c r="T846" s="74"/>
      <c r="U846" s="74"/>
      <c r="V846" s="74"/>
      <c r="W846" s="74"/>
      <c r="X846" s="74"/>
      <c r="Y846" s="74"/>
      <c r="Z846" s="74"/>
    </row>
    <row r="847" spans="1:26" ht="14.4" x14ac:dyDescent="0.3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4"/>
      <c r="L847" s="74"/>
      <c r="M847" s="74"/>
      <c r="N847" s="74"/>
      <c r="O847" s="74"/>
      <c r="P847" s="74"/>
      <c r="Q847" s="74"/>
      <c r="R847" s="74"/>
      <c r="S847" s="74"/>
      <c r="T847" s="74"/>
      <c r="U847" s="74"/>
      <c r="V847" s="74"/>
      <c r="W847" s="74"/>
      <c r="X847" s="74"/>
      <c r="Y847" s="74"/>
      <c r="Z847" s="74"/>
    </row>
    <row r="848" spans="1:26" ht="14.4" x14ac:dyDescent="0.3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4"/>
      <c r="L848" s="74"/>
      <c r="M848" s="74"/>
      <c r="N848" s="74"/>
      <c r="O848" s="74"/>
      <c r="P848" s="74"/>
      <c r="Q848" s="74"/>
      <c r="R848" s="74"/>
      <c r="S848" s="74"/>
      <c r="T848" s="74"/>
      <c r="U848" s="74"/>
      <c r="V848" s="74"/>
      <c r="W848" s="74"/>
      <c r="X848" s="74"/>
      <c r="Y848" s="74"/>
      <c r="Z848" s="74"/>
    </row>
    <row r="849" spans="1:26" ht="14.4" x14ac:dyDescent="0.3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4"/>
      <c r="L849" s="74"/>
      <c r="M849" s="74"/>
      <c r="N849" s="74"/>
      <c r="O849" s="74"/>
      <c r="P849" s="74"/>
      <c r="Q849" s="74"/>
      <c r="R849" s="74"/>
      <c r="S849" s="74"/>
      <c r="T849" s="74"/>
      <c r="U849" s="74"/>
      <c r="V849" s="74"/>
      <c r="W849" s="74"/>
      <c r="X849" s="74"/>
      <c r="Y849" s="74"/>
      <c r="Z849" s="74"/>
    </row>
    <row r="850" spans="1:26" ht="14.4" x14ac:dyDescent="0.3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4"/>
      <c r="L850" s="74"/>
      <c r="M850" s="74"/>
      <c r="N850" s="74"/>
      <c r="O850" s="74"/>
      <c r="P850" s="74"/>
      <c r="Q850" s="74"/>
      <c r="R850" s="74"/>
      <c r="S850" s="74"/>
      <c r="T850" s="74"/>
      <c r="U850" s="74"/>
      <c r="V850" s="74"/>
      <c r="W850" s="74"/>
      <c r="X850" s="74"/>
      <c r="Y850" s="74"/>
      <c r="Z850" s="74"/>
    </row>
    <row r="851" spans="1:26" ht="14.4" x14ac:dyDescent="0.3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4"/>
      <c r="L851" s="74"/>
      <c r="M851" s="74"/>
      <c r="N851" s="74"/>
      <c r="O851" s="74"/>
      <c r="P851" s="74"/>
      <c r="Q851" s="74"/>
      <c r="R851" s="74"/>
      <c r="S851" s="74"/>
      <c r="T851" s="74"/>
      <c r="U851" s="74"/>
      <c r="V851" s="74"/>
      <c r="W851" s="74"/>
      <c r="X851" s="74"/>
      <c r="Y851" s="74"/>
      <c r="Z851" s="74"/>
    </row>
    <row r="852" spans="1:26" ht="14.4" x14ac:dyDescent="0.3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4"/>
      <c r="L852" s="74"/>
      <c r="M852" s="74"/>
      <c r="N852" s="74"/>
      <c r="O852" s="74"/>
      <c r="P852" s="74"/>
      <c r="Q852" s="74"/>
      <c r="R852" s="74"/>
      <c r="S852" s="74"/>
      <c r="T852" s="74"/>
      <c r="U852" s="74"/>
      <c r="V852" s="74"/>
      <c r="W852" s="74"/>
      <c r="X852" s="74"/>
      <c r="Y852" s="74"/>
      <c r="Z852" s="74"/>
    </row>
    <row r="853" spans="1:26" ht="14.4" x14ac:dyDescent="0.3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4"/>
      <c r="L853" s="74"/>
      <c r="M853" s="74"/>
      <c r="N853" s="74"/>
      <c r="O853" s="74"/>
      <c r="P853" s="74"/>
      <c r="Q853" s="74"/>
      <c r="R853" s="74"/>
      <c r="S853" s="74"/>
      <c r="T853" s="74"/>
      <c r="U853" s="74"/>
      <c r="V853" s="74"/>
      <c r="W853" s="74"/>
      <c r="X853" s="74"/>
      <c r="Y853" s="74"/>
      <c r="Z853" s="74"/>
    </row>
    <row r="854" spans="1:26" ht="14.4" x14ac:dyDescent="0.3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4"/>
      <c r="L854" s="74"/>
      <c r="M854" s="74"/>
      <c r="N854" s="74"/>
      <c r="O854" s="74"/>
      <c r="P854" s="74"/>
      <c r="Q854" s="74"/>
      <c r="R854" s="74"/>
      <c r="S854" s="74"/>
      <c r="T854" s="74"/>
      <c r="U854" s="74"/>
      <c r="V854" s="74"/>
      <c r="W854" s="74"/>
      <c r="X854" s="74"/>
      <c r="Y854" s="74"/>
      <c r="Z854" s="74"/>
    </row>
    <row r="855" spans="1:26" ht="14.4" x14ac:dyDescent="0.3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  <c r="Z855" s="74"/>
    </row>
    <row r="856" spans="1:26" ht="14.4" x14ac:dyDescent="0.3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4"/>
      <c r="L856" s="74"/>
      <c r="M856" s="74"/>
      <c r="N856" s="74"/>
      <c r="O856" s="74"/>
      <c r="P856" s="74"/>
      <c r="Q856" s="74"/>
      <c r="R856" s="74"/>
      <c r="S856" s="74"/>
      <c r="T856" s="74"/>
      <c r="U856" s="74"/>
      <c r="V856" s="74"/>
      <c r="W856" s="74"/>
      <c r="X856" s="74"/>
      <c r="Y856" s="74"/>
      <c r="Z856" s="74"/>
    </row>
    <row r="857" spans="1:26" ht="14.4" x14ac:dyDescent="0.3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4"/>
      <c r="L857" s="74"/>
      <c r="M857" s="74"/>
      <c r="N857" s="74"/>
      <c r="O857" s="74"/>
      <c r="P857" s="74"/>
      <c r="Q857" s="74"/>
      <c r="R857" s="74"/>
      <c r="S857" s="74"/>
      <c r="T857" s="74"/>
      <c r="U857" s="74"/>
      <c r="V857" s="74"/>
      <c r="W857" s="74"/>
      <c r="X857" s="74"/>
      <c r="Y857" s="74"/>
      <c r="Z857" s="74"/>
    </row>
    <row r="858" spans="1:26" ht="14.4" x14ac:dyDescent="0.3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4"/>
      <c r="L858" s="74"/>
      <c r="M858" s="74"/>
      <c r="N858" s="74"/>
      <c r="O858" s="74"/>
      <c r="P858" s="74"/>
      <c r="Q858" s="74"/>
      <c r="R858" s="74"/>
      <c r="S858" s="74"/>
      <c r="T858" s="74"/>
      <c r="U858" s="74"/>
      <c r="V858" s="74"/>
      <c r="W858" s="74"/>
      <c r="X858" s="74"/>
      <c r="Y858" s="74"/>
      <c r="Z858" s="74"/>
    </row>
    <row r="859" spans="1:26" ht="14.4" x14ac:dyDescent="0.3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4"/>
      <c r="L859" s="74"/>
      <c r="M859" s="74"/>
      <c r="N859" s="74"/>
      <c r="O859" s="74"/>
      <c r="P859" s="74"/>
      <c r="Q859" s="74"/>
      <c r="R859" s="74"/>
      <c r="S859" s="74"/>
      <c r="T859" s="74"/>
      <c r="U859" s="74"/>
      <c r="V859" s="74"/>
      <c r="W859" s="74"/>
      <c r="X859" s="74"/>
      <c r="Y859" s="74"/>
      <c r="Z859" s="74"/>
    </row>
    <row r="860" spans="1:26" ht="14.4" x14ac:dyDescent="0.3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4"/>
      <c r="L860" s="74"/>
      <c r="M860" s="74"/>
      <c r="N860" s="74"/>
      <c r="O860" s="74"/>
      <c r="P860" s="74"/>
      <c r="Q860" s="74"/>
      <c r="R860" s="74"/>
      <c r="S860" s="74"/>
      <c r="T860" s="74"/>
      <c r="U860" s="74"/>
      <c r="V860" s="74"/>
      <c r="W860" s="74"/>
      <c r="X860" s="74"/>
      <c r="Y860" s="74"/>
      <c r="Z860" s="74"/>
    </row>
    <row r="861" spans="1:26" ht="14.4" x14ac:dyDescent="0.3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4"/>
      <c r="L861" s="74"/>
      <c r="M861" s="74"/>
      <c r="N861" s="74"/>
      <c r="O861" s="74"/>
      <c r="P861" s="74"/>
      <c r="Q861" s="74"/>
      <c r="R861" s="74"/>
      <c r="S861" s="74"/>
      <c r="T861" s="74"/>
      <c r="U861" s="74"/>
      <c r="V861" s="74"/>
      <c r="W861" s="74"/>
      <c r="X861" s="74"/>
      <c r="Y861" s="74"/>
      <c r="Z861" s="74"/>
    </row>
    <row r="862" spans="1:26" ht="14.4" x14ac:dyDescent="0.3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4"/>
      <c r="L862" s="74"/>
      <c r="M862" s="74"/>
      <c r="N862" s="74"/>
      <c r="O862" s="74"/>
      <c r="P862" s="74"/>
      <c r="Q862" s="74"/>
      <c r="R862" s="74"/>
      <c r="S862" s="74"/>
      <c r="T862" s="74"/>
      <c r="U862" s="74"/>
      <c r="V862" s="74"/>
      <c r="W862" s="74"/>
      <c r="X862" s="74"/>
      <c r="Y862" s="74"/>
      <c r="Z862" s="74"/>
    </row>
    <row r="863" spans="1:26" ht="14.4" x14ac:dyDescent="0.3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4"/>
      <c r="L863" s="74"/>
      <c r="M863" s="74"/>
      <c r="N863" s="74"/>
      <c r="O863" s="74"/>
      <c r="P863" s="74"/>
      <c r="Q863" s="74"/>
      <c r="R863" s="74"/>
      <c r="S863" s="74"/>
      <c r="T863" s="74"/>
      <c r="U863" s="74"/>
      <c r="V863" s="74"/>
      <c r="W863" s="74"/>
      <c r="X863" s="74"/>
      <c r="Y863" s="74"/>
      <c r="Z863" s="74"/>
    </row>
    <row r="864" spans="1:26" ht="14.4" x14ac:dyDescent="0.3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4"/>
      <c r="L864" s="74"/>
      <c r="M864" s="74"/>
      <c r="N864" s="74"/>
      <c r="O864" s="74"/>
      <c r="P864" s="74"/>
      <c r="Q864" s="74"/>
      <c r="R864" s="74"/>
      <c r="S864" s="74"/>
      <c r="T864" s="74"/>
      <c r="U864" s="74"/>
      <c r="V864" s="74"/>
      <c r="W864" s="74"/>
      <c r="X864" s="74"/>
      <c r="Y864" s="74"/>
      <c r="Z864" s="74"/>
    </row>
    <row r="865" spans="1:26" ht="14.4" x14ac:dyDescent="0.3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4"/>
      <c r="L865" s="74"/>
      <c r="M865" s="74"/>
      <c r="N865" s="74"/>
      <c r="O865" s="74"/>
      <c r="P865" s="74"/>
      <c r="Q865" s="74"/>
      <c r="R865" s="74"/>
      <c r="S865" s="74"/>
      <c r="T865" s="74"/>
      <c r="U865" s="74"/>
      <c r="V865" s="74"/>
      <c r="W865" s="74"/>
      <c r="X865" s="74"/>
      <c r="Y865" s="74"/>
      <c r="Z865" s="74"/>
    </row>
    <row r="866" spans="1:26" ht="14.4" x14ac:dyDescent="0.3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4"/>
      <c r="L866" s="74"/>
      <c r="M866" s="74"/>
      <c r="N866" s="74"/>
      <c r="O866" s="74"/>
      <c r="P866" s="74"/>
      <c r="Q866" s="74"/>
      <c r="R866" s="74"/>
      <c r="S866" s="74"/>
      <c r="T866" s="74"/>
      <c r="U866" s="74"/>
      <c r="V866" s="74"/>
      <c r="W866" s="74"/>
      <c r="X866" s="74"/>
      <c r="Y866" s="74"/>
      <c r="Z866" s="74"/>
    </row>
    <row r="867" spans="1:26" ht="14.4" x14ac:dyDescent="0.3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4"/>
      <c r="L867" s="74"/>
      <c r="M867" s="74"/>
      <c r="N867" s="74"/>
      <c r="O867" s="74"/>
      <c r="P867" s="74"/>
      <c r="Q867" s="74"/>
      <c r="R867" s="74"/>
      <c r="S867" s="74"/>
      <c r="T867" s="74"/>
      <c r="U867" s="74"/>
      <c r="V867" s="74"/>
      <c r="W867" s="74"/>
      <c r="X867" s="74"/>
      <c r="Y867" s="74"/>
      <c r="Z867" s="74"/>
    </row>
    <row r="868" spans="1:26" ht="14.4" x14ac:dyDescent="0.3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4"/>
      <c r="L868" s="74"/>
      <c r="M868" s="74"/>
      <c r="N868" s="74"/>
      <c r="O868" s="74"/>
      <c r="P868" s="74"/>
      <c r="Q868" s="74"/>
      <c r="R868" s="74"/>
      <c r="S868" s="74"/>
      <c r="T868" s="74"/>
      <c r="U868" s="74"/>
      <c r="V868" s="74"/>
      <c r="W868" s="74"/>
      <c r="X868" s="74"/>
      <c r="Y868" s="74"/>
      <c r="Z868" s="74"/>
    </row>
    <row r="869" spans="1:26" ht="14.4" x14ac:dyDescent="0.3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4"/>
      <c r="L869" s="74"/>
      <c r="M869" s="74"/>
      <c r="N869" s="74"/>
      <c r="O869" s="74"/>
      <c r="P869" s="74"/>
      <c r="Q869" s="74"/>
      <c r="R869" s="74"/>
      <c r="S869" s="74"/>
      <c r="T869" s="74"/>
      <c r="U869" s="74"/>
      <c r="V869" s="74"/>
      <c r="W869" s="74"/>
      <c r="X869" s="74"/>
      <c r="Y869" s="74"/>
      <c r="Z869" s="74"/>
    </row>
    <row r="870" spans="1:26" ht="14.4" x14ac:dyDescent="0.3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4"/>
      <c r="L870" s="74"/>
      <c r="M870" s="74"/>
      <c r="N870" s="74"/>
      <c r="O870" s="74"/>
      <c r="P870" s="74"/>
      <c r="Q870" s="74"/>
      <c r="R870" s="74"/>
      <c r="S870" s="74"/>
      <c r="T870" s="74"/>
      <c r="U870" s="74"/>
      <c r="V870" s="74"/>
      <c r="W870" s="74"/>
      <c r="X870" s="74"/>
      <c r="Y870" s="74"/>
      <c r="Z870" s="74"/>
    </row>
    <row r="871" spans="1:26" ht="14.4" x14ac:dyDescent="0.3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4"/>
      <c r="L871" s="74"/>
      <c r="M871" s="74"/>
      <c r="N871" s="74"/>
      <c r="O871" s="74"/>
      <c r="P871" s="74"/>
      <c r="Q871" s="74"/>
      <c r="R871" s="74"/>
      <c r="S871" s="74"/>
      <c r="T871" s="74"/>
      <c r="U871" s="74"/>
      <c r="V871" s="74"/>
      <c r="W871" s="74"/>
      <c r="X871" s="74"/>
      <c r="Y871" s="74"/>
      <c r="Z871" s="74"/>
    </row>
    <row r="872" spans="1:26" ht="14.4" x14ac:dyDescent="0.3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4"/>
      <c r="L872" s="74"/>
      <c r="M872" s="74"/>
      <c r="N872" s="74"/>
      <c r="O872" s="74"/>
      <c r="P872" s="74"/>
      <c r="Q872" s="74"/>
      <c r="R872" s="74"/>
      <c r="S872" s="74"/>
      <c r="T872" s="74"/>
      <c r="U872" s="74"/>
      <c r="V872" s="74"/>
      <c r="W872" s="74"/>
      <c r="X872" s="74"/>
      <c r="Y872" s="74"/>
      <c r="Z872" s="74"/>
    </row>
    <row r="873" spans="1:26" ht="14.4" x14ac:dyDescent="0.3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4"/>
      <c r="L873" s="74"/>
      <c r="M873" s="74"/>
      <c r="N873" s="74"/>
      <c r="O873" s="74"/>
      <c r="P873" s="74"/>
      <c r="Q873" s="74"/>
      <c r="R873" s="74"/>
      <c r="S873" s="74"/>
      <c r="T873" s="74"/>
      <c r="U873" s="74"/>
      <c r="V873" s="74"/>
      <c r="W873" s="74"/>
      <c r="X873" s="74"/>
      <c r="Y873" s="74"/>
      <c r="Z873" s="74"/>
    </row>
    <row r="874" spans="1:26" ht="14.4" x14ac:dyDescent="0.3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4"/>
      <c r="L874" s="74"/>
      <c r="M874" s="74"/>
      <c r="N874" s="74"/>
      <c r="O874" s="74"/>
      <c r="P874" s="74"/>
      <c r="Q874" s="74"/>
      <c r="R874" s="74"/>
      <c r="S874" s="74"/>
      <c r="T874" s="74"/>
      <c r="U874" s="74"/>
      <c r="V874" s="74"/>
      <c r="W874" s="74"/>
      <c r="X874" s="74"/>
      <c r="Y874" s="74"/>
      <c r="Z874" s="74"/>
    </row>
    <row r="875" spans="1:26" ht="14.4" x14ac:dyDescent="0.3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4"/>
      <c r="L875" s="74"/>
      <c r="M875" s="74"/>
      <c r="N875" s="74"/>
      <c r="O875" s="74"/>
      <c r="P875" s="74"/>
      <c r="Q875" s="74"/>
      <c r="R875" s="74"/>
      <c r="S875" s="74"/>
      <c r="T875" s="74"/>
      <c r="U875" s="74"/>
      <c r="V875" s="74"/>
      <c r="W875" s="74"/>
      <c r="X875" s="74"/>
      <c r="Y875" s="74"/>
      <c r="Z875" s="74"/>
    </row>
    <row r="876" spans="1:26" ht="14.4" x14ac:dyDescent="0.3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4"/>
      <c r="L876" s="74"/>
      <c r="M876" s="74"/>
      <c r="N876" s="74"/>
      <c r="O876" s="74"/>
      <c r="P876" s="74"/>
      <c r="Q876" s="74"/>
      <c r="R876" s="74"/>
      <c r="S876" s="74"/>
      <c r="T876" s="74"/>
      <c r="U876" s="74"/>
      <c r="V876" s="74"/>
      <c r="W876" s="74"/>
      <c r="X876" s="74"/>
      <c r="Y876" s="74"/>
      <c r="Z876" s="74"/>
    </row>
    <row r="877" spans="1:26" ht="14.4" x14ac:dyDescent="0.3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4"/>
      <c r="L877" s="74"/>
      <c r="M877" s="74"/>
      <c r="N877" s="74"/>
      <c r="O877" s="74"/>
      <c r="P877" s="74"/>
      <c r="Q877" s="74"/>
      <c r="R877" s="74"/>
      <c r="S877" s="74"/>
      <c r="T877" s="74"/>
      <c r="U877" s="74"/>
      <c r="V877" s="74"/>
      <c r="W877" s="74"/>
      <c r="X877" s="74"/>
      <c r="Y877" s="74"/>
      <c r="Z877" s="74"/>
    </row>
    <row r="878" spans="1:26" ht="14.4" x14ac:dyDescent="0.3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4"/>
      <c r="L878" s="74"/>
      <c r="M878" s="74"/>
      <c r="N878" s="74"/>
      <c r="O878" s="74"/>
      <c r="P878" s="74"/>
      <c r="Q878" s="74"/>
      <c r="R878" s="74"/>
      <c r="S878" s="74"/>
      <c r="T878" s="74"/>
      <c r="U878" s="74"/>
      <c r="V878" s="74"/>
      <c r="W878" s="74"/>
      <c r="X878" s="74"/>
      <c r="Y878" s="74"/>
      <c r="Z878" s="74"/>
    </row>
    <row r="879" spans="1:26" ht="14.4" x14ac:dyDescent="0.3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4"/>
      <c r="L879" s="74"/>
      <c r="M879" s="74"/>
      <c r="N879" s="74"/>
      <c r="O879" s="74"/>
      <c r="P879" s="74"/>
      <c r="Q879" s="74"/>
      <c r="R879" s="74"/>
      <c r="S879" s="74"/>
      <c r="T879" s="74"/>
      <c r="U879" s="74"/>
      <c r="V879" s="74"/>
      <c r="W879" s="74"/>
      <c r="X879" s="74"/>
      <c r="Y879" s="74"/>
      <c r="Z879" s="74"/>
    </row>
    <row r="880" spans="1:26" ht="14.4" x14ac:dyDescent="0.3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4"/>
      <c r="L880" s="74"/>
      <c r="M880" s="74"/>
      <c r="N880" s="74"/>
      <c r="O880" s="74"/>
      <c r="P880" s="74"/>
      <c r="Q880" s="74"/>
      <c r="R880" s="74"/>
      <c r="S880" s="74"/>
      <c r="T880" s="74"/>
      <c r="U880" s="74"/>
      <c r="V880" s="74"/>
      <c r="W880" s="74"/>
      <c r="X880" s="74"/>
      <c r="Y880" s="74"/>
      <c r="Z880" s="74"/>
    </row>
    <row r="881" spans="1:26" ht="14.4" x14ac:dyDescent="0.3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4"/>
      <c r="L881" s="74"/>
      <c r="M881" s="74"/>
      <c r="N881" s="74"/>
      <c r="O881" s="74"/>
      <c r="P881" s="74"/>
      <c r="Q881" s="74"/>
      <c r="R881" s="74"/>
      <c r="S881" s="74"/>
      <c r="T881" s="74"/>
      <c r="U881" s="74"/>
      <c r="V881" s="74"/>
      <c r="W881" s="74"/>
      <c r="X881" s="74"/>
      <c r="Y881" s="74"/>
      <c r="Z881" s="74"/>
    </row>
    <row r="882" spans="1:26" ht="14.4" x14ac:dyDescent="0.3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4"/>
      <c r="L882" s="74"/>
      <c r="M882" s="74"/>
      <c r="N882" s="74"/>
      <c r="O882" s="74"/>
      <c r="P882" s="74"/>
      <c r="Q882" s="74"/>
      <c r="R882" s="74"/>
      <c r="S882" s="74"/>
      <c r="T882" s="74"/>
      <c r="U882" s="74"/>
      <c r="V882" s="74"/>
      <c r="W882" s="74"/>
      <c r="X882" s="74"/>
      <c r="Y882" s="74"/>
      <c r="Z882" s="74"/>
    </row>
    <row r="883" spans="1:26" ht="14.4" x14ac:dyDescent="0.3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4"/>
      <c r="L883" s="74"/>
      <c r="M883" s="74"/>
      <c r="N883" s="74"/>
      <c r="O883" s="74"/>
      <c r="P883" s="74"/>
      <c r="Q883" s="74"/>
      <c r="R883" s="74"/>
      <c r="S883" s="74"/>
      <c r="T883" s="74"/>
      <c r="U883" s="74"/>
      <c r="V883" s="74"/>
      <c r="W883" s="74"/>
      <c r="X883" s="74"/>
      <c r="Y883" s="74"/>
      <c r="Z883" s="74"/>
    </row>
    <row r="884" spans="1:26" ht="14.4" x14ac:dyDescent="0.3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4"/>
      <c r="L884" s="74"/>
      <c r="M884" s="74"/>
      <c r="N884" s="74"/>
      <c r="O884" s="74"/>
      <c r="P884" s="74"/>
      <c r="Q884" s="74"/>
      <c r="R884" s="74"/>
      <c r="S884" s="74"/>
      <c r="T884" s="74"/>
      <c r="U884" s="74"/>
      <c r="V884" s="74"/>
      <c r="W884" s="74"/>
      <c r="X884" s="74"/>
      <c r="Y884" s="74"/>
      <c r="Z884" s="74"/>
    </row>
    <row r="885" spans="1:26" ht="14.4" x14ac:dyDescent="0.3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4"/>
      <c r="L885" s="74"/>
      <c r="M885" s="74"/>
      <c r="N885" s="74"/>
      <c r="O885" s="74"/>
      <c r="P885" s="74"/>
      <c r="Q885" s="74"/>
      <c r="R885" s="74"/>
      <c r="S885" s="74"/>
      <c r="T885" s="74"/>
      <c r="U885" s="74"/>
      <c r="V885" s="74"/>
      <c r="W885" s="74"/>
      <c r="X885" s="74"/>
      <c r="Y885" s="74"/>
      <c r="Z885" s="74"/>
    </row>
    <row r="886" spans="1:26" ht="14.4" x14ac:dyDescent="0.3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4"/>
      <c r="L886" s="74"/>
      <c r="M886" s="74"/>
      <c r="N886" s="74"/>
      <c r="O886" s="74"/>
      <c r="P886" s="74"/>
      <c r="Q886" s="74"/>
      <c r="R886" s="74"/>
      <c r="S886" s="74"/>
      <c r="T886" s="74"/>
      <c r="U886" s="74"/>
      <c r="V886" s="74"/>
      <c r="W886" s="74"/>
      <c r="X886" s="74"/>
      <c r="Y886" s="74"/>
      <c r="Z886" s="74"/>
    </row>
    <row r="887" spans="1:26" ht="14.4" x14ac:dyDescent="0.3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4"/>
      <c r="L887" s="74"/>
      <c r="M887" s="74"/>
      <c r="N887" s="74"/>
      <c r="O887" s="74"/>
      <c r="P887" s="74"/>
      <c r="Q887" s="74"/>
      <c r="R887" s="74"/>
      <c r="S887" s="74"/>
      <c r="T887" s="74"/>
      <c r="U887" s="74"/>
      <c r="V887" s="74"/>
      <c r="W887" s="74"/>
      <c r="X887" s="74"/>
      <c r="Y887" s="74"/>
      <c r="Z887" s="74"/>
    </row>
    <row r="888" spans="1:26" ht="14.4" x14ac:dyDescent="0.3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4"/>
      <c r="L888" s="74"/>
      <c r="M888" s="74"/>
      <c r="N888" s="74"/>
      <c r="O888" s="74"/>
      <c r="P888" s="74"/>
      <c r="Q888" s="74"/>
      <c r="R888" s="74"/>
      <c r="S888" s="74"/>
      <c r="T888" s="74"/>
      <c r="U888" s="74"/>
      <c r="V888" s="74"/>
      <c r="W888" s="74"/>
      <c r="X888" s="74"/>
      <c r="Y888" s="74"/>
      <c r="Z888" s="74"/>
    </row>
    <row r="889" spans="1:26" ht="14.4" x14ac:dyDescent="0.3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4"/>
      <c r="L889" s="74"/>
      <c r="M889" s="74"/>
      <c r="N889" s="74"/>
      <c r="O889" s="74"/>
      <c r="P889" s="74"/>
      <c r="Q889" s="74"/>
      <c r="R889" s="74"/>
      <c r="S889" s="74"/>
      <c r="T889" s="74"/>
      <c r="U889" s="74"/>
      <c r="V889" s="74"/>
      <c r="W889" s="74"/>
      <c r="X889" s="74"/>
      <c r="Y889" s="74"/>
      <c r="Z889" s="74"/>
    </row>
    <row r="890" spans="1:26" ht="14.4" x14ac:dyDescent="0.3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4"/>
      <c r="L890" s="74"/>
      <c r="M890" s="74"/>
      <c r="N890" s="74"/>
      <c r="O890" s="74"/>
      <c r="P890" s="74"/>
      <c r="Q890" s="74"/>
      <c r="R890" s="74"/>
      <c r="S890" s="74"/>
      <c r="T890" s="74"/>
      <c r="U890" s="74"/>
      <c r="V890" s="74"/>
      <c r="W890" s="74"/>
      <c r="X890" s="74"/>
      <c r="Y890" s="74"/>
      <c r="Z890" s="74"/>
    </row>
    <row r="891" spans="1:26" ht="14.4" x14ac:dyDescent="0.3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4"/>
      <c r="L891" s="74"/>
      <c r="M891" s="74"/>
      <c r="N891" s="74"/>
      <c r="O891" s="74"/>
      <c r="P891" s="74"/>
      <c r="Q891" s="74"/>
      <c r="R891" s="74"/>
      <c r="S891" s="74"/>
      <c r="T891" s="74"/>
      <c r="U891" s="74"/>
      <c r="V891" s="74"/>
      <c r="W891" s="74"/>
      <c r="X891" s="74"/>
      <c r="Y891" s="74"/>
      <c r="Z891" s="74"/>
    </row>
    <row r="892" spans="1:26" ht="14.4" x14ac:dyDescent="0.3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4"/>
      <c r="L892" s="74"/>
      <c r="M892" s="74"/>
      <c r="N892" s="74"/>
      <c r="O892" s="74"/>
      <c r="P892" s="74"/>
      <c r="Q892" s="74"/>
      <c r="R892" s="74"/>
      <c r="S892" s="74"/>
      <c r="T892" s="74"/>
      <c r="U892" s="74"/>
      <c r="V892" s="74"/>
      <c r="W892" s="74"/>
      <c r="X892" s="74"/>
      <c r="Y892" s="74"/>
      <c r="Z892" s="74"/>
    </row>
    <row r="893" spans="1:26" ht="14.4" x14ac:dyDescent="0.3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4"/>
      <c r="L893" s="74"/>
      <c r="M893" s="74"/>
      <c r="N893" s="74"/>
      <c r="O893" s="74"/>
      <c r="P893" s="74"/>
      <c r="Q893" s="74"/>
      <c r="R893" s="74"/>
      <c r="S893" s="74"/>
      <c r="T893" s="74"/>
      <c r="U893" s="74"/>
      <c r="V893" s="74"/>
      <c r="W893" s="74"/>
      <c r="X893" s="74"/>
      <c r="Y893" s="74"/>
      <c r="Z893" s="74"/>
    </row>
    <row r="894" spans="1:26" ht="14.4" x14ac:dyDescent="0.3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4"/>
      <c r="L894" s="74"/>
      <c r="M894" s="74"/>
      <c r="N894" s="74"/>
      <c r="O894" s="74"/>
      <c r="P894" s="74"/>
      <c r="Q894" s="74"/>
      <c r="R894" s="74"/>
      <c r="S894" s="74"/>
      <c r="T894" s="74"/>
      <c r="U894" s="74"/>
      <c r="V894" s="74"/>
      <c r="W894" s="74"/>
      <c r="X894" s="74"/>
      <c r="Y894" s="74"/>
      <c r="Z894" s="74"/>
    </row>
    <row r="895" spans="1:26" ht="14.4" x14ac:dyDescent="0.3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4"/>
      <c r="L895" s="74"/>
      <c r="M895" s="74"/>
      <c r="N895" s="74"/>
      <c r="O895" s="74"/>
      <c r="P895" s="74"/>
      <c r="Q895" s="74"/>
      <c r="R895" s="74"/>
      <c r="S895" s="74"/>
      <c r="T895" s="74"/>
      <c r="U895" s="74"/>
      <c r="V895" s="74"/>
      <c r="W895" s="74"/>
      <c r="X895" s="74"/>
      <c r="Y895" s="74"/>
      <c r="Z895" s="74"/>
    </row>
    <row r="896" spans="1:26" ht="14.4" x14ac:dyDescent="0.3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4"/>
      <c r="L896" s="74"/>
      <c r="M896" s="74"/>
      <c r="N896" s="74"/>
      <c r="O896" s="74"/>
      <c r="P896" s="74"/>
      <c r="Q896" s="74"/>
      <c r="R896" s="74"/>
      <c r="S896" s="74"/>
      <c r="T896" s="74"/>
      <c r="U896" s="74"/>
      <c r="V896" s="74"/>
      <c r="W896" s="74"/>
      <c r="X896" s="74"/>
      <c r="Y896" s="74"/>
      <c r="Z896" s="74"/>
    </row>
    <row r="897" spans="1:26" ht="14.4" x14ac:dyDescent="0.3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4"/>
      <c r="L897" s="74"/>
      <c r="M897" s="74"/>
      <c r="N897" s="74"/>
      <c r="O897" s="74"/>
      <c r="P897" s="74"/>
      <c r="Q897" s="74"/>
      <c r="R897" s="74"/>
      <c r="S897" s="74"/>
      <c r="T897" s="74"/>
      <c r="U897" s="74"/>
      <c r="V897" s="74"/>
      <c r="W897" s="74"/>
      <c r="X897" s="74"/>
      <c r="Y897" s="74"/>
      <c r="Z897" s="74"/>
    </row>
    <row r="898" spans="1:26" ht="14.4" x14ac:dyDescent="0.3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4"/>
      <c r="L898" s="74"/>
      <c r="M898" s="74"/>
      <c r="N898" s="74"/>
      <c r="O898" s="74"/>
      <c r="P898" s="74"/>
      <c r="Q898" s="74"/>
      <c r="R898" s="74"/>
      <c r="S898" s="74"/>
      <c r="T898" s="74"/>
      <c r="U898" s="74"/>
      <c r="V898" s="74"/>
      <c r="W898" s="74"/>
      <c r="X898" s="74"/>
      <c r="Y898" s="74"/>
      <c r="Z898" s="74"/>
    </row>
    <row r="899" spans="1:26" ht="14.4" x14ac:dyDescent="0.3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4"/>
      <c r="L899" s="74"/>
      <c r="M899" s="74"/>
      <c r="N899" s="74"/>
      <c r="O899" s="74"/>
      <c r="P899" s="74"/>
      <c r="Q899" s="74"/>
      <c r="R899" s="74"/>
      <c r="S899" s="74"/>
      <c r="T899" s="74"/>
      <c r="U899" s="74"/>
      <c r="V899" s="74"/>
      <c r="W899" s="74"/>
      <c r="X899" s="74"/>
      <c r="Y899" s="74"/>
      <c r="Z899" s="74"/>
    </row>
    <row r="900" spans="1:26" ht="14.4" x14ac:dyDescent="0.3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4"/>
      <c r="L900" s="74"/>
      <c r="M900" s="74"/>
      <c r="N900" s="74"/>
      <c r="O900" s="74"/>
      <c r="P900" s="74"/>
      <c r="Q900" s="74"/>
      <c r="R900" s="74"/>
      <c r="S900" s="74"/>
      <c r="T900" s="74"/>
      <c r="U900" s="74"/>
      <c r="V900" s="74"/>
      <c r="W900" s="74"/>
      <c r="X900" s="74"/>
      <c r="Y900" s="74"/>
      <c r="Z900" s="74"/>
    </row>
    <row r="901" spans="1:26" ht="14.4" x14ac:dyDescent="0.3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4"/>
      <c r="L901" s="74"/>
      <c r="M901" s="74"/>
      <c r="N901" s="74"/>
      <c r="O901" s="74"/>
      <c r="P901" s="74"/>
      <c r="Q901" s="74"/>
      <c r="R901" s="74"/>
      <c r="S901" s="74"/>
      <c r="T901" s="74"/>
      <c r="U901" s="74"/>
      <c r="V901" s="74"/>
      <c r="W901" s="74"/>
      <c r="X901" s="74"/>
      <c r="Y901" s="74"/>
      <c r="Z901" s="74"/>
    </row>
    <row r="902" spans="1:26" ht="14.4" x14ac:dyDescent="0.3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4"/>
      <c r="L902" s="74"/>
      <c r="M902" s="74"/>
      <c r="N902" s="74"/>
      <c r="O902" s="74"/>
      <c r="P902" s="74"/>
      <c r="Q902" s="74"/>
      <c r="R902" s="74"/>
      <c r="S902" s="74"/>
      <c r="T902" s="74"/>
      <c r="U902" s="74"/>
      <c r="V902" s="74"/>
      <c r="W902" s="74"/>
      <c r="X902" s="74"/>
      <c r="Y902" s="74"/>
      <c r="Z902" s="74"/>
    </row>
    <row r="903" spans="1:26" ht="14.4" x14ac:dyDescent="0.3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4"/>
      <c r="L903" s="74"/>
      <c r="M903" s="74"/>
      <c r="N903" s="74"/>
      <c r="O903" s="74"/>
      <c r="P903" s="74"/>
      <c r="Q903" s="74"/>
      <c r="R903" s="74"/>
      <c r="S903" s="74"/>
      <c r="T903" s="74"/>
      <c r="U903" s="74"/>
      <c r="V903" s="74"/>
      <c r="W903" s="74"/>
      <c r="X903" s="74"/>
      <c r="Y903" s="74"/>
      <c r="Z903" s="74"/>
    </row>
    <row r="904" spans="1:26" ht="14.4" x14ac:dyDescent="0.3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4"/>
      <c r="L904" s="74"/>
      <c r="M904" s="74"/>
      <c r="N904" s="74"/>
      <c r="O904" s="74"/>
      <c r="P904" s="74"/>
      <c r="Q904" s="74"/>
      <c r="R904" s="74"/>
      <c r="S904" s="74"/>
      <c r="T904" s="74"/>
      <c r="U904" s="74"/>
      <c r="V904" s="74"/>
      <c r="W904" s="74"/>
      <c r="X904" s="74"/>
      <c r="Y904" s="74"/>
      <c r="Z904" s="74"/>
    </row>
    <row r="905" spans="1:26" ht="14.4" x14ac:dyDescent="0.3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4"/>
      <c r="L905" s="74"/>
      <c r="M905" s="74"/>
      <c r="N905" s="74"/>
      <c r="O905" s="74"/>
      <c r="P905" s="74"/>
      <c r="Q905" s="74"/>
      <c r="R905" s="74"/>
      <c r="S905" s="74"/>
      <c r="T905" s="74"/>
      <c r="U905" s="74"/>
      <c r="V905" s="74"/>
      <c r="W905" s="74"/>
      <c r="X905" s="74"/>
      <c r="Y905" s="74"/>
      <c r="Z905" s="74"/>
    </row>
    <row r="906" spans="1:26" ht="14.4" x14ac:dyDescent="0.3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4"/>
      <c r="L906" s="74"/>
      <c r="M906" s="74"/>
      <c r="N906" s="74"/>
      <c r="O906" s="74"/>
      <c r="P906" s="74"/>
      <c r="Q906" s="74"/>
      <c r="R906" s="74"/>
      <c r="S906" s="74"/>
      <c r="T906" s="74"/>
      <c r="U906" s="74"/>
      <c r="V906" s="74"/>
      <c r="W906" s="74"/>
      <c r="X906" s="74"/>
      <c r="Y906" s="74"/>
      <c r="Z906" s="74"/>
    </row>
    <row r="907" spans="1:26" ht="14.4" x14ac:dyDescent="0.3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4"/>
      <c r="L907" s="74"/>
      <c r="M907" s="74"/>
      <c r="N907" s="74"/>
      <c r="O907" s="74"/>
      <c r="P907" s="74"/>
      <c r="Q907" s="74"/>
      <c r="R907" s="74"/>
      <c r="S907" s="74"/>
      <c r="T907" s="74"/>
      <c r="U907" s="74"/>
      <c r="V907" s="74"/>
      <c r="W907" s="74"/>
      <c r="X907" s="74"/>
      <c r="Y907" s="74"/>
      <c r="Z907" s="74"/>
    </row>
    <row r="908" spans="1:26" ht="14.4" x14ac:dyDescent="0.3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4"/>
      <c r="L908" s="74"/>
      <c r="M908" s="74"/>
      <c r="N908" s="74"/>
      <c r="O908" s="74"/>
      <c r="P908" s="74"/>
      <c r="Q908" s="74"/>
      <c r="R908" s="74"/>
      <c r="S908" s="74"/>
      <c r="T908" s="74"/>
      <c r="U908" s="74"/>
      <c r="V908" s="74"/>
      <c r="W908" s="74"/>
      <c r="X908" s="74"/>
      <c r="Y908" s="74"/>
      <c r="Z908" s="74"/>
    </row>
    <row r="909" spans="1:26" ht="14.4" x14ac:dyDescent="0.3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4"/>
      <c r="L909" s="74"/>
      <c r="M909" s="74"/>
      <c r="N909" s="74"/>
      <c r="O909" s="74"/>
      <c r="P909" s="74"/>
      <c r="Q909" s="74"/>
      <c r="R909" s="74"/>
      <c r="S909" s="74"/>
      <c r="T909" s="74"/>
      <c r="U909" s="74"/>
      <c r="V909" s="74"/>
      <c r="W909" s="74"/>
      <c r="X909" s="74"/>
      <c r="Y909" s="74"/>
      <c r="Z909" s="74"/>
    </row>
    <row r="910" spans="1:26" ht="14.4" x14ac:dyDescent="0.3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4"/>
      <c r="L910" s="74"/>
      <c r="M910" s="74"/>
      <c r="N910" s="74"/>
      <c r="O910" s="74"/>
      <c r="P910" s="74"/>
      <c r="Q910" s="74"/>
      <c r="R910" s="74"/>
      <c r="S910" s="74"/>
      <c r="T910" s="74"/>
      <c r="U910" s="74"/>
      <c r="V910" s="74"/>
      <c r="W910" s="74"/>
      <c r="X910" s="74"/>
      <c r="Y910" s="74"/>
      <c r="Z910" s="74"/>
    </row>
    <row r="911" spans="1:26" ht="14.4" x14ac:dyDescent="0.3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4"/>
      <c r="L911" s="74"/>
      <c r="M911" s="74"/>
      <c r="N911" s="74"/>
      <c r="O911" s="74"/>
      <c r="P911" s="74"/>
      <c r="Q911" s="74"/>
      <c r="R911" s="74"/>
      <c r="S911" s="74"/>
      <c r="T911" s="74"/>
      <c r="U911" s="74"/>
      <c r="V911" s="74"/>
      <c r="W911" s="74"/>
      <c r="X911" s="74"/>
      <c r="Y911" s="74"/>
      <c r="Z911" s="74"/>
    </row>
    <row r="912" spans="1:26" ht="14.4" x14ac:dyDescent="0.3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4"/>
      <c r="L912" s="74"/>
      <c r="M912" s="74"/>
      <c r="N912" s="74"/>
      <c r="O912" s="74"/>
      <c r="P912" s="74"/>
      <c r="Q912" s="74"/>
      <c r="R912" s="74"/>
      <c r="S912" s="74"/>
      <c r="T912" s="74"/>
      <c r="U912" s="74"/>
      <c r="V912" s="74"/>
      <c r="W912" s="74"/>
      <c r="X912" s="74"/>
      <c r="Y912" s="74"/>
      <c r="Z912" s="74"/>
    </row>
    <row r="913" spans="1:26" ht="14.4" x14ac:dyDescent="0.3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4"/>
      <c r="L913" s="74"/>
      <c r="M913" s="74"/>
      <c r="N913" s="74"/>
      <c r="O913" s="74"/>
      <c r="P913" s="74"/>
      <c r="Q913" s="74"/>
      <c r="R913" s="74"/>
      <c r="S913" s="74"/>
      <c r="T913" s="74"/>
      <c r="U913" s="74"/>
      <c r="V913" s="74"/>
      <c r="W913" s="74"/>
      <c r="X913" s="74"/>
      <c r="Y913" s="74"/>
      <c r="Z913" s="74"/>
    </row>
    <row r="914" spans="1:26" ht="14.4" x14ac:dyDescent="0.3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4"/>
      <c r="L914" s="74"/>
      <c r="M914" s="74"/>
      <c r="N914" s="74"/>
      <c r="O914" s="74"/>
      <c r="P914" s="74"/>
      <c r="Q914" s="74"/>
      <c r="R914" s="74"/>
      <c r="S914" s="74"/>
      <c r="T914" s="74"/>
      <c r="U914" s="74"/>
      <c r="V914" s="74"/>
      <c r="W914" s="74"/>
      <c r="X914" s="74"/>
      <c r="Y914" s="74"/>
      <c r="Z914" s="74"/>
    </row>
    <row r="915" spans="1:26" ht="14.4" x14ac:dyDescent="0.3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4"/>
      <c r="L915" s="74"/>
      <c r="M915" s="74"/>
      <c r="N915" s="74"/>
      <c r="O915" s="74"/>
      <c r="P915" s="74"/>
      <c r="Q915" s="74"/>
      <c r="R915" s="74"/>
      <c r="S915" s="74"/>
      <c r="T915" s="74"/>
      <c r="U915" s="74"/>
      <c r="V915" s="74"/>
      <c r="W915" s="74"/>
      <c r="X915" s="74"/>
      <c r="Y915" s="74"/>
      <c r="Z915" s="74"/>
    </row>
    <row r="916" spans="1:26" ht="14.4" x14ac:dyDescent="0.3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4"/>
      <c r="L916" s="74"/>
      <c r="M916" s="74"/>
      <c r="N916" s="74"/>
      <c r="O916" s="74"/>
      <c r="P916" s="74"/>
      <c r="Q916" s="74"/>
      <c r="R916" s="74"/>
      <c r="S916" s="74"/>
      <c r="T916" s="74"/>
      <c r="U916" s="74"/>
      <c r="V916" s="74"/>
      <c r="W916" s="74"/>
      <c r="X916" s="74"/>
      <c r="Y916" s="74"/>
      <c r="Z916" s="74"/>
    </row>
    <row r="917" spans="1:26" ht="14.4" x14ac:dyDescent="0.3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4"/>
      <c r="L917" s="74"/>
      <c r="M917" s="74"/>
      <c r="N917" s="74"/>
      <c r="O917" s="74"/>
      <c r="P917" s="74"/>
      <c r="Q917" s="74"/>
      <c r="R917" s="74"/>
      <c r="S917" s="74"/>
      <c r="T917" s="74"/>
      <c r="U917" s="74"/>
      <c r="V917" s="74"/>
      <c r="W917" s="74"/>
      <c r="X917" s="74"/>
      <c r="Y917" s="74"/>
      <c r="Z917" s="74"/>
    </row>
    <row r="918" spans="1:26" ht="14.4" x14ac:dyDescent="0.3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4"/>
      <c r="L918" s="74"/>
      <c r="M918" s="74"/>
      <c r="N918" s="74"/>
      <c r="O918" s="74"/>
      <c r="P918" s="74"/>
      <c r="Q918" s="74"/>
      <c r="R918" s="74"/>
      <c r="S918" s="74"/>
      <c r="T918" s="74"/>
      <c r="U918" s="74"/>
      <c r="V918" s="74"/>
      <c r="W918" s="74"/>
      <c r="X918" s="74"/>
      <c r="Y918" s="74"/>
      <c r="Z918" s="74"/>
    </row>
    <row r="919" spans="1:26" ht="14.4" x14ac:dyDescent="0.3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4"/>
      <c r="L919" s="74"/>
      <c r="M919" s="74"/>
      <c r="N919" s="74"/>
      <c r="O919" s="74"/>
      <c r="P919" s="74"/>
      <c r="Q919" s="74"/>
      <c r="R919" s="74"/>
      <c r="S919" s="74"/>
      <c r="T919" s="74"/>
      <c r="U919" s="74"/>
      <c r="V919" s="74"/>
      <c r="W919" s="74"/>
      <c r="X919" s="74"/>
      <c r="Y919" s="74"/>
      <c r="Z919" s="74"/>
    </row>
    <row r="920" spans="1:26" ht="14.4" x14ac:dyDescent="0.3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4"/>
      <c r="L920" s="74"/>
      <c r="M920" s="74"/>
      <c r="N920" s="74"/>
      <c r="O920" s="74"/>
      <c r="P920" s="74"/>
      <c r="Q920" s="74"/>
      <c r="R920" s="74"/>
      <c r="S920" s="74"/>
      <c r="T920" s="74"/>
      <c r="U920" s="74"/>
      <c r="V920" s="74"/>
      <c r="W920" s="74"/>
      <c r="X920" s="74"/>
      <c r="Y920" s="74"/>
      <c r="Z920" s="74"/>
    </row>
    <row r="921" spans="1:26" ht="14.4" x14ac:dyDescent="0.3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4"/>
      <c r="L921" s="74"/>
      <c r="M921" s="74"/>
      <c r="N921" s="74"/>
      <c r="O921" s="74"/>
      <c r="P921" s="74"/>
      <c r="Q921" s="74"/>
      <c r="R921" s="74"/>
      <c r="S921" s="74"/>
      <c r="T921" s="74"/>
      <c r="U921" s="74"/>
      <c r="V921" s="74"/>
      <c r="W921" s="74"/>
      <c r="X921" s="74"/>
      <c r="Y921" s="74"/>
      <c r="Z921" s="74"/>
    </row>
    <row r="922" spans="1:26" ht="14.4" x14ac:dyDescent="0.3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4"/>
      <c r="L922" s="74"/>
      <c r="M922" s="74"/>
      <c r="N922" s="74"/>
      <c r="O922" s="74"/>
      <c r="P922" s="74"/>
      <c r="Q922" s="74"/>
      <c r="R922" s="74"/>
      <c r="S922" s="74"/>
      <c r="T922" s="74"/>
      <c r="U922" s="74"/>
      <c r="V922" s="74"/>
      <c r="W922" s="74"/>
      <c r="X922" s="74"/>
      <c r="Y922" s="74"/>
      <c r="Z922" s="74"/>
    </row>
    <row r="923" spans="1:26" ht="14.4" x14ac:dyDescent="0.3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4"/>
      <c r="L923" s="74"/>
      <c r="M923" s="74"/>
      <c r="N923" s="74"/>
      <c r="O923" s="74"/>
      <c r="P923" s="74"/>
      <c r="Q923" s="74"/>
      <c r="R923" s="74"/>
      <c r="S923" s="74"/>
      <c r="T923" s="74"/>
      <c r="U923" s="74"/>
      <c r="V923" s="74"/>
      <c r="W923" s="74"/>
      <c r="X923" s="74"/>
      <c r="Y923" s="74"/>
      <c r="Z923" s="74"/>
    </row>
    <row r="924" spans="1:26" ht="14.4" x14ac:dyDescent="0.3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4"/>
      <c r="L924" s="74"/>
      <c r="M924" s="74"/>
      <c r="N924" s="74"/>
      <c r="O924" s="74"/>
      <c r="P924" s="74"/>
      <c r="Q924" s="74"/>
      <c r="R924" s="74"/>
      <c r="S924" s="74"/>
      <c r="T924" s="74"/>
      <c r="U924" s="74"/>
      <c r="V924" s="74"/>
      <c r="W924" s="74"/>
      <c r="X924" s="74"/>
      <c r="Y924" s="74"/>
      <c r="Z924" s="74"/>
    </row>
    <row r="925" spans="1:26" ht="14.4" x14ac:dyDescent="0.3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4"/>
      <c r="L925" s="74"/>
      <c r="M925" s="74"/>
      <c r="N925" s="74"/>
      <c r="O925" s="74"/>
      <c r="P925" s="74"/>
      <c r="Q925" s="74"/>
      <c r="R925" s="74"/>
      <c r="S925" s="74"/>
      <c r="T925" s="74"/>
      <c r="U925" s="74"/>
      <c r="V925" s="74"/>
      <c r="W925" s="74"/>
      <c r="X925" s="74"/>
      <c r="Y925" s="74"/>
      <c r="Z925" s="74"/>
    </row>
    <row r="926" spans="1:26" ht="14.4" x14ac:dyDescent="0.3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4"/>
      <c r="L926" s="74"/>
      <c r="M926" s="74"/>
      <c r="N926" s="74"/>
      <c r="O926" s="74"/>
      <c r="P926" s="74"/>
      <c r="Q926" s="74"/>
      <c r="R926" s="74"/>
      <c r="S926" s="74"/>
      <c r="T926" s="74"/>
      <c r="U926" s="74"/>
      <c r="V926" s="74"/>
      <c r="W926" s="74"/>
      <c r="X926" s="74"/>
      <c r="Y926" s="74"/>
      <c r="Z926" s="74"/>
    </row>
    <row r="927" spans="1:26" ht="14.4" x14ac:dyDescent="0.3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4"/>
      <c r="L927" s="74"/>
      <c r="M927" s="74"/>
      <c r="N927" s="74"/>
      <c r="O927" s="74"/>
      <c r="P927" s="74"/>
      <c r="Q927" s="74"/>
      <c r="R927" s="74"/>
      <c r="S927" s="74"/>
      <c r="T927" s="74"/>
      <c r="U927" s="74"/>
      <c r="V927" s="74"/>
      <c r="W927" s="74"/>
      <c r="X927" s="74"/>
      <c r="Y927" s="74"/>
      <c r="Z927" s="74"/>
    </row>
    <row r="928" spans="1:26" ht="14.4" x14ac:dyDescent="0.3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4"/>
      <c r="L928" s="74"/>
      <c r="M928" s="74"/>
      <c r="N928" s="74"/>
      <c r="O928" s="74"/>
      <c r="P928" s="74"/>
      <c r="Q928" s="74"/>
      <c r="R928" s="74"/>
      <c r="S928" s="74"/>
      <c r="T928" s="74"/>
      <c r="U928" s="74"/>
      <c r="V928" s="74"/>
      <c r="W928" s="74"/>
      <c r="X928" s="74"/>
      <c r="Y928" s="74"/>
      <c r="Z928" s="74"/>
    </row>
    <row r="929" spans="1:26" ht="14.4" x14ac:dyDescent="0.3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4"/>
      <c r="L929" s="74"/>
      <c r="M929" s="74"/>
      <c r="N929" s="74"/>
      <c r="O929" s="74"/>
      <c r="P929" s="74"/>
      <c r="Q929" s="74"/>
      <c r="R929" s="74"/>
      <c r="S929" s="74"/>
      <c r="T929" s="74"/>
      <c r="U929" s="74"/>
      <c r="V929" s="74"/>
      <c r="W929" s="74"/>
      <c r="X929" s="74"/>
      <c r="Y929" s="74"/>
      <c r="Z929" s="74"/>
    </row>
    <row r="930" spans="1:26" ht="14.4" x14ac:dyDescent="0.3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4"/>
      <c r="L930" s="74"/>
      <c r="M930" s="74"/>
      <c r="N930" s="74"/>
      <c r="O930" s="74"/>
      <c r="P930" s="74"/>
      <c r="Q930" s="74"/>
      <c r="R930" s="74"/>
      <c r="S930" s="74"/>
      <c r="T930" s="74"/>
      <c r="U930" s="74"/>
      <c r="V930" s="74"/>
      <c r="W930" s="74"/>
      <c r="X930" s="74"/>
      <c r="Y930" s="74"/>
      <c r="Z930" s="74"/>
    </row>
    <row r="931" spans="1:26" ht="14.4" x14ac:dyDescent="0.3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4"/>
      <c r="L931" s="74"/>
      <c r="M931" s="74"/>
      <c r="N931" s="74"/>
      <c r="O931" s="74"/>
      <c r="P931" s="74"/>
      <c r="Q931" s="74"/>
      <c r="R931" s="74"/>
      <c r="S931" s="74"/>
      <c r="T931" s="74"/>
      <c r="U931" s="74"/>
      <c r="V931" s="74"/>
      <c r="W931" s="74"/>
      <c r="X931" s="74"/>
      <c r="Y931" s="74"/>
      <c r="Z931" s="74"/>
    </row>
    <row r="932" spans="1:26" ht="14.4" x14ac:dyDescent="0.3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4"/>
      <c r="L932" s="74"/>
      <c r="M932" s="74"/>
      <c r="N932" s="74"/>
      <c r="O932" s="74"/>
      <c r="P932" s="74"/>
      <c r="Q932" s="74"/>
      <c r="R932" s="74"/>
      <c r="S932" s="74"/>
      <c r="T932" s="74"/>
      <c r="U932" s="74"/>
      <c r="V932" s="74"/>
      <c r="W932" s="74"/>
      <c r="X932" s="74"/>
      <c r="Y932" s="74"/>
      <c r="Z932" s="74"/>
    </row>
    <row r="933" spans="1:26" ht="14.4" x14ac:dyDescent="0.3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4"/>
      <c r="L933" s="74"/>
      <c r="M933" s="74"/>
      <c r="N933" s="74"/>
      <c r="O933" s="74"/>
      <c r="P933" s="74"/>
      <c r="Q933" s="74"/>
      <c r="R933" s="74"/>
      <c r="S933" s="74"/>
      <c r="T933" s="74"/>
      <c r="U933" s="74"/>
      <c r="V933" s="74"/>
      <c r="W933" s="74"/>
      <c r="X933" s="74"/>
      <c r="Y933" s="74"/>
      <c r="Z933" s="74"/>
    </row>
    <row r="934" spans="1:26" ht="14.4" x14ac:dyDescent="0.3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4"/>
      <c r="L934" s="74"/>
      <c r="M934" s="74"/>
      <c r="N934" s="74"/>
      <c r="O934" s="74"/>
      <c r="P934" s="74"/>
      <c r="Q934" s="74"/>
      <c r="R934" s="74"/>
      <c r="S934" s="74"/>
      <c r="T934" s="74"/>
      <c r="U934" s="74"/>
      <c r="V934" s="74"/>
      <c r="W934" s="74"/>
      <c r="X934" s="74"/>
      <c r="Y934" s="74"/>
      <c r="Z934" s="74"/>
    </row>
    <row r="935" spans="1:26" ht="14.4" x14ac:dyDescent="0.3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4"/>
      <c r="L935" s="74"/>
      <c r="M935" s="74"/>
      <c r="N935" s="74"/>
      <c r="O935" s="74"/>
      <c r="P935" s="74"/>
      <c r="Q935" s="74"/>
      <c r="R935" s="74"/>
      <c r="S935" s="74"/>
      <c r="T935" s="74"/>
      <c r="U935" s="74"/>
      <c r="V935" s="74"/>
      <c r="W935" s="74"/>
      <c r="X935" s="74"/>
      <c r="Y935" s="74"/>
      <c r="Z935" s="74"/>
    </row>
    <row r="936" spans="1:26" ht="14.4" x14ac:dyDescent="0.3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4"/>
      <c r="L936" s="74"/>
      <c r="M936" s="74"/>
      <c r="N936" s="74"/>
      <c r="O936" s="74"/>
      <c r="P936" s="74"/>
      <c r="Q936" s="74"/>
      <c r="R936" s="74"/>
      <c r="S936" s="74"/>
      <c r="T936" s="74"/>
      <c r="U936" s="74"/>
      <c r="V936" s="74"/>
      <c r="W936" s="74"/>
      <c r="X936" s="74"/>
      <c r="Y936" s="74"/>
      <c r="Z936" s="74"/>
    </row>
    <row r="937" spans="1:26" ht="14.4" x14ac:dyDescent="0.3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4"/>
      <c r="L937" s="74"/>
      <c r="M937" s="74"/>
      <c r="N937" s="74"/>
      <c r="O937" s="74"/>
      <c r="P937" s="74"/>
      <c r="Q937" s="74"/>
      <c r="R937" s="74"/>
      <c r="S937" s="74"/>
      <c r="T937" s="74"/>
      <c r="U937" s="74"/>
      <c r="V937" s="74"/>
      <c r="W937" s="74"/>
      <c r="X937" s="74"/>
      <c r="Y937" s="74"/>
      <c r="Z937" s="74"/>
    </row>
    <row r="938" spans="1:26" ht="14.4" x14ac:dyDescent="0.3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4"/>
      <c r="L938" s="74"/>
      <c r="M938" s="74"/>
      <c r="N938" s="74"/>
      <c r="O938" s="74"/>
      <c r="P938" s="74"/>
      <c r="Q938" s="74"/>
      <c r="R938" s="74"/>
      <c r="S938" s="74"/>
      <c r="T938" s="74"/>
      <c r="U938" s="74"/>
      <c r="V938" s="74"/>
      <c r="W938" s="74"/>
      <c r="X938" s="74"/>
      <c r="Y938" s="74"/>
      <c r="Z938" s="74"/>
    </row>
    <row r="939" spans="1:26" ht="14.4" x14ac:dyDescent="0.3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4"/>
      <c r="L939" s="74"/>
      <c r="M939" s="74"/>
      <c r="N939" s="74"/>
      <c r="O939" s="74"/>
      <c r="P939" s="74"/>
      <c r="Q939" s="74"/>
      <c r="R939" s="74"/>
      <c r="S939" s="74"/>
      <c r="T939" s="74"/>
      <c r="U939" s="74"/>
      <c r="V939" s="74"/>
      <c r="W939" s="74"/>
      <c r="X939" s="74"/>
      <c r="Y939" s="74"/>
      <c r="Z939" s="74"/>
    </row>
    <row r="940" spans="1:26" ht="14.4" x14ac:dyDescent="0.3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4"/>
      <c r="L940" s="74"/>
      <c r="M940" s="74"/>
      <c r="N940" s="74"/>
      <c r="O940" s="74"/>
      <c r="P940" s="74"/>
      <c r="Q940" s="74"/>
      <c r="R940" s="74"/>
      <c r="S940" s="74"/>
      <c r="T940" s="74"/>
      <c r="U940" s="74"/>
      <c r="V940" s="74"/>
      <c r="W940" s="74"/>
      <c r="X940" s="74"/>
      <c r="Y940" s="74"/>
      <c r="Z940" s="74"/>
    </row>
    <row r="941" spans="1:26" ht="14.4" x14ac:dyDescent="0.3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4"/>
      <c r="L941" s="74"/>
      <c r="M941" s="74"/>
      <c r="N941" s="74"/>
      <c r="O941" s="74"/>
      <c r="P941" s="74"/>
      <c r="Q941" s="74"/>
      <c r="R941" s="74"/>
      <c r="S941" s="74"/>
      <c r="T941" s="74"/>
      <c r="U941" s="74"/>
      <c r="V941" s="74"/>
      <c r="W941" s="74"/>
      <c r="X941" s="74"/>
      <c r="Y941" s="74"/>
      <c r="Z941" s="74"/>
    </row>
    <row r="942" spans="1:26" ht="14.4" x14ac:dyDescent="0.3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4"/>
      <c r="L942" s="74"/>
      <c r="M942" s="74"/>
      <c r="N942" s="74"/>
      <c r="O942" s="74"/>
      <c r="P942" s="74"/>
      <c r="Q942" s="74"/>
      <c r="R942" s="74"/>
      <c r="S942" s="74"/>
      <c r="T942" s="74"/>
      <c r="U942" s="74"/>
      <c r="V942" s="74"/>
      <c r="W942" s="74"/>
      <c r="X942" s="74"/>
      <c r="Y942" s="74"/>
      <c r="Z942" s="74"/>
    </row>
    <row r="943" spans="1:26" ht="14.4" x14ac:dyDescent="0.3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4"/>
      <c r="L943" s="74"/>
      <c r="M943" s="74"/>
      <c r="N943" s="74"/>
      <c r="O943" s="74"/>
      <c r="P943" s="74"/>
      <c r="Q943" s="74"/>
      <c r="R943" s="74"/>
      <c r="S943" s="74"/>
      <c r="T943" s="74"/>
      <c r="U943" s="74"/>
      <c r="V943" s="74"/>
      <c r="W943" s="74"/>
      <c r="X943" s="74"/>
      <c r="Y943" s="74"/>
      <c r="Z943" s="74"/>
    </row>
    <row r="944" spans="1:26" ht="14.4" x14ac:dyDescent="0.3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4"/>
      <c r="L944" s="74"/>
      <c r="M944" s="74"/>
      <c r="N944" s="74"/>
      <c r="O944" s="74"/>
      <c r="P944" s="74"/>
      <c r="Q944" s="74"/>
      <c r="R944" s="74"/>
      <c r="S944" s="74"/>
      <c r="T944" s="74"/>
      <c r="U944" s="74"/>
      <c r="V944" s="74"/>
      <c r="W944" s="74"/>
      <c r="X944" s="74"/>
      <c r="Y944" s="74"/>
      <c r="Z944" s="74"/>
    </row>
    <row r="945" spans="1:26" ht="14.4" x14ac:dyDescent="0.3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4"/>
      <c r="L945" s="74"/>
      <c r="M945" s="74"/>
      <c r="N945" s="74"/>
      <c r="O945" s="74"/>
      <c r="P945" s="74"/>
      <c r="Q945" s="74"/>
      <c r="R945" s="74"/>
      <c r="S945" s="74"/>
      <c r="T945" s="74"/>
      <c r="U945" s="74"/>
      <c r="V945" s="74"/>
      <c r="W945" s="74"/>
      <c r="X945" s="74"/>
      <c r="Y945" s="74"/>
      <c r="Z945" s="74"/>
    </row>
    <row r="946" spans="1:26" ht="14.4" x14ac:dyDescent="0.3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4"/>
      <c r="L946" s="74"/>
      <c r="M946" s="74"/>
      <c r="N946" s="74"/>
      <c r="O946" s="74"/>
      <c r="P946" s="74"/>
      <c r="Q946" s="74"/>
      <c r="R946" s="74"/>
      <c r="S946" s="74"/>
      <c r="T946" s="74"/>
      <c r="U946" s="74"/>
      <c r="V946" s="74"/>
      <c r="W946" s="74"/>
      <c r="X946" s="74"/>
      <c r="Y946" s="74"/>
      <c r="Z946" s="74"/>
    </row>
    <row r="947" spans="1:26" ht="14.4" x14ac:dyDescent="0.3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4"/>
      <c r="L947" s="74"/>
      <c r="M947" s="74"/>
      <c r="N947" s="74"/>
      <c r="O947" s="74"/>
      <c r="P947" s="74"/>
      <c r="Q947" s="74"/>
      <c r="R947" s="74"/>
      <c r="S947" s="74"/>
      <c r="T947" s="74"/>
      <c r="U947" s="74"/>
      <c r="V947" s="74"/>
      <c r="W947" s="74"/>
      <c r="X947" s="74"/>
      <c r="Y947" s="74"/>
      <c r="Z947" s="74"/>
    </row>
    <row r="948" spans="1:26" ht="14.4" x14ac:dyDescent="0.3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4"/>
      <c r="L948" s="74"/>
      <c r="M948" s="74"/>
      <c r="N948" s="74"/>
      <c r="O948" s="74"/>
      <c r="P948" s="74"/>
      <c r="Q948" s="74"/>
      <c r="R948" s="74"/>
      <c r="S948" s="74"/>
      <c r="T948" s="74"/>
      <c r="U948" s="74"/>
      <c r="V948" s="74"/>
      <c r="W948" s="74"/>
      <c r="X948" s="74"/>
      <c r="Y948" s="74"/>
      <c r="Z948" s="74"/>
    </row>
    <row r="949" spans="1:26" ht="14.4" x14ac:dyDescent="0.3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4"/>
      <c r="L949" s="74"/>
      <c r="M949" s="74"/>
      <c r="N949" s="74"/>
      <c r="O949" s="74"/>
      <c r="P949" s="74"/>
      <c r="Q949" s="74"/>
      <c r="R949" s="74"/>
      <c r="S949" s="74"/>
      <c r="T949" s="74"/>
      <c r="U949" s="74"/>
      <c r="V949" s="74"/>
      <c r="W949" s="74"/>
      <c r="X949" s="74"/>
      <c r="Y949" s="74"/>
      <c r="Z949" s="74"/>
    </row>
    <row r="950" spans="1:26" ht="14.4" x14ac:dyDescent="0.3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4"/>
      <c r="L950" s="74"/>
      <c r="M950" s="74"/>
      <c r="N950" s="74"/>
      <c r="O950" s="74"/>
      <c r="P950" s="74"/>
      <c r="Q950" s="74"/>
      <c r="R950" s="74"/>
      <c r="S950" s="74"/>
      <c r="T950" s="74"/>
      <c r="U950" s="74"/>
      <c r="V950" s="74"/>
      <c r="W950" s="74"/>
      <c r="X950" s="74"/>
      <c r="Y950" s="74"/>
      <c r="Z950" s="74"/>
    </row>
    <row r="951" spans="1:26" ht="14.4" x14ac:dyDescent="0.3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4"/>
      <c r="L951" s="74"/>
      <c r="M951" s="74"/>
      <c r="N951" s="74"/>
      <c r="O951" s="74"/>
      <c r="P951" s="74"/>
      <c r="Q951" s="74"/>
      <c r="R951" s="74"/>
      <c r="S951" s="74"/>
      <c r="T951" s="74"/>
      <c r="U951" s="74"/>
      <c r="V951" s="74"/>
      <c r="W951" s="74"/>
      <c r="X951" s="74"/>
      <c r="Y951" s="74"/>
      <c r="Z951" s="74"/>
    </row>
    <row r="952" spans="1:26" ht="14.4" x14ac:dyDescent="0.3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4"/>
      <c r="L952" s="74"/>
      <c r="M952" s="74"/>
      <c r="N952" s="74"/>
      <c r="O952" s="74"/>
      <c r="P952" s="74"/>
      <c r="Q952" s="74"/>
      <c r="R952" s="74"/>
      <c r="S952" s="74"/>
      <c r="T952" s="74"/>
      <c r="U952" s="74"/>
      <c r="V952" s="74"/>
      <c r="W952" s="74"/>
      <c r="X952" s="74"/>
      <c r="Y952" s="74"/>
      <c r="Z952" s="74"/>
    </row>
    <row r="953" spans="1:26" ht="14.4" x14ac:dyDescent="0.3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4"/>
      <c r="L953" s="74"/>
      <c r="M953" s="74"/>
      <c r="N953" s="74"/>
      <c r="O953" s="74"/>
      <c r="P953" s="74"/>
      <c r="Q953" s="74"/>
      <c r="R953" s="74"/>
      <c r="S953" s="74"/>
      <c r="T953" s="74"/>
      <c r="U953" s="74"/>
      <c r="V953" s="74"/>
      <c r="W953" s="74"/>
      <c r="X953" s="74"/>
      <c r="Y953" s="74"/>
      <c r="Z953" s="74"/>
    </row>
    <row r="954" spans="1:26" ht="14.4" x14ac:dyDescent="0.3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4"/>
      <c r="L954" s="74"/>
      <c r="M954" s="74"/>
      <c r="N954" s="74"/>
      <c r="O954" s="74"/>
      <c r="P954" s="74"/>
      <c r="Q954" s="74"/>
      <c r="R954" s="74"/>
      <c r="S954" s="74"/>
      <c r="T954" s="74"/>
      <c r="U954" s="74"/>
      <c r="V954" s="74"/>
      <c r="W954" s="74"/>
      <c r="X954" s="74"/>
      <c r="Y954" s="74"/>
      <c r="Z954" s="74"/>
    </row>
    <row r="955" spans="1:26" ht="14.4" x14ac:dyDescent="0.3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4"/>
      <c r="L955" s="74"/>
      <c r="M955" s="74"/>
      <c r="N955" s="74"/>
      <c r="O955" s="74"/>
      <c r="P955" s="74"/>
      <c r="Q955" s="74"/>
      <c r="R955" s="74"/>
      <c r="S955" s="74"/>
      <c r="T955" s="74"/>
      <c r="U955" s="74"/>
      <c r="V955" s="74"/>
      <c r="W955" s="74"/>
      <c r="X955" s="74"/>
      <c r="Y955" s="74"/>
      <c r="Z955" s="74"/>
    </row>
    <row r="956" spans="1:26" ht="14.4" x14ac:dyDescent="0.3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4"/>
      <c r="L956" s="74"/>
      <c r="M956" s="74"/>
      <c r="N956" s="74"/>
      <c r="O956" s="74"/>
      <c r="P956" s="74"/>
      <c r="Q956" s="74"/>
      <c r="R956" s="74"/>
      <c r="S956" s="74"/>
      <c r="T956" s="74"/>
      <c r="U956" s="74"/>
      <c r="V956" s="74"/>
      <c r="W956" s="74"/>
      <c r="X956" s="74"/>
      <c r="Y956" s="74"/>
      <c r="Z956" s="74"/>
    </row>
    <row r="957" spans="1:26" ht="14.4" x14ac:dyDescent="0.3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4"/>
      <c r="L957" s="74"/>
      <c r="M957" s="74"/>
      <c r="N957" s="74"/>
      <c r="O957" s="74"/>
      <c r="P957" s="74"/>
      <c r="Q957" s="74"/>
      <c r="R957" s="74"/>
      <c r="S957" s="74"/>
      <c r="T957" s="74"/>
      <c r="U957" s="74"/>
      <c r="V957" s="74"/>
      <c r="W957" s="74"/>
      <c r="X957" s="74"/>
      <c r="Y957" s="74"/>
      <c r="Z957" s="74"/>
    </row>
    <row r="958" spans="1:26" ht="14.4" x14ac:dyDescent="0.3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4"/>
      <c r="L958" s="74"/>
      <c r="M958" s="74"/>
      <c r="N958" s="74"/>
      <c r="O958" s="74"/>
      <c r="P958" s="74"/>
      <c r="Q958" s="74"/>
      <c r="R958" s="74"/>
      <c r="S958" s="74"/>
      <c r="T958" s="74"/>
      <c r="U958" s="74"/>
      <c r="V958" s="74"/>
      <c r="W958" s="74"/>
      <c r="X958" s="74"/>
      <c r="Y958" s="74"/>
      <c r="Z958" s="74"/>
    </row>
    <row r="959" spans="1:26" ht="14.4" x14ac:dyDescent="0.3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4"/>
      <c r="L959" s="74"/>
      <c r="M959" s="74"/>
      <c r="N959" s="74"/>
      <c r="O959" s="74"/>
      <c r="P959" s="74"/>
      <c r="Q959" s="74"/>
      <c r="R959" s="74"/>
      <c r="S959" s="74"/>
      <c r="T959" s="74"/>
      <c r="U959" s="74"/>
      <c r="V959" s="74"/>
      <c r="W959" s="74"/>
      <c r="X959" s="74"/>
      <c r="Y959" s="74"/>
      <c r="Z959" s="74"/>
    </row>
    <row r="960" spans="1:26" ht="14.4" x14ac:dyDescent="0.3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4"/>
      <c r="L960" s="74"/>
      <c r="M960" s="74"/>
      <c r="N960" s="74"/>
      <c r="O960" s="74"/>
      <c r="P960" s="74"/>
      <c r="Q960" s="74"/>
      <c r="R960" s="74"/>
      <c r="S960" s="74"/>
      <c r="T960" s="74"/>
      <c r="U960" s="74"/>
      <c r="V960" s="74"/>
      <c r="W960" s="74"/>
      <c r="X960" s="74"/>
      <c r="Y960" s="74"/>
      <c r="Z960" s="74"/>
    </row>
    <row r="961" spans="1:26" ht="14.4" x14ac:dyDescent="0.3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4"/>
      <c r="L961" s="74"/>
      <c r="M961" s="74"/>
      <c r="N961" s="74"/>
      <c r="O961" s="74"/>
      <c r="P961" s="74"/>
      <c r="Q961" s="74"/>
      <c r="R961" s="74"/>
      <c r="S961" s="74"/>
      <c r="T961" s="74"/>
      <c r="U961" s="74"/>
      <c r="V961" s="74"/>
      <c r="W961" s="74"/>
      <c r="X961" s="74"/>
      <c r="Y961" s="74"/>
      <c r="Z961" s="74"/>
    </row>
    <row r="962" spans="1:26" ht="14.4" x14ac:dyDescent="0.3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4"/>
      <c r="L962" s="74"/>
      <c r="M962" s="74"/>
      <c r="N962" s="74"/>
      <c r="O962" s="74"/>
      <c r="P962" s="74"/>
      <c r="Q962" s="74"/>
      <c r="R962" s="74"/>
      <c r="S962" s="74"/>
      <c r="T962" s="74"/>
      <c r="U962" s="74"/>
      <c r="V962" s="74"/>
      <c r="W962" s="74"/>
      <c r="X962" s="74"/>
      <c r="Y962" s="74"/>
      <c r="Z962" s="74"/>
    </row>
    <row r="963" spans="1:26" ht="14.4" x14ac:dyDescent="0.3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4"/>
      <c r="L963" s="74"/>
      <c r="M963" s="74"/>
      <c r="N963" s="74"/>
      <c r="O963" s="74"/>
      <c r="P963" s="74"/>
      <c r="Q963" s="74"/>
      <c r="R963" s="74"/>
      <c r="S963" s="74"/>
      <c r="T963" s="74"/>
      <c r="U963" s="74"/>
      <c r="V963" s="74"/>
      <c r="W963" s="74"/>
      <c r="X963" s="74"/>
      <c r="Y963" s="74"/>
      <c r="Z963" s="74"/>
    </row>
    <row r="964" spans="1:26" ht="14.4" x14ac:dyDescent="0.3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4"/>
      <c r="L964" s="74"/>
      <c r="M964" s="74"/>
      <c r="N964" s="74"/>
      <c r="O964" s="74"/>
      <c r="P964" s="74"/>
      <c r="Q964" s="74"/>
      <c r="R964" s="74"/>
      <c r="S964" s="74"/>
      <c r="T964" s="74"/>
      <c r="U964" s="74"/>
      <c r="V964" s="74"/>
      <c r="W964" s="74"/>
      <c r="X964" s="74"/>
      <c r="Y964" s="74"/>
      <c r="Z964" s="74"/>
    </row>
    <row r="965" spans="1:26" ht="14.4" x14ac:dyDescent="0.3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4"/>
      <c r="L965" s="74"/>
      <c r="M965" s="74"/>
      <c r="N965" s="74"/>
      <c r="O965" s="74"/>
      <c r="P965" s="74"/>
      <c r="Q965" s="74"/>
      <c r="R965" s="74"/>
      <c r="S965" s="74"/>
      <c r="T965" s="74"/>
      <c r="U965" s="74"/>
      <c r="V965" s="74"/>
      <c r="W965" s="74"/>
      <c r="X965" s="74"/>
      <c r="Y965" s="74"/>
      <c r="Z965" s="74"/>
    </row>
    <row r="966" spans="1:26" ht="14.4" x14ac:dyDescent="0.3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4"/>
      <c r="L966" s="74"/>
      <c r="M966" s="74"/>
      <c r="N966" s="74"/>
      <c r="O966" s="74"/>
      <c r="P966" s="74"/>
      <c r="Q966" s="74"/>
      <c r="R966" s="74"/>
      <c r="S966" s="74"/>
      <c r="T966" s="74"/>
      <c r="U966" s="74"/>
      <c r="V966" s="74"/>
      <c r="W966" s="74"/>
      <c r="X966" s="74"/>
      <c r="Y966" s="74"/>
      <c r="Z966" s="74"/>
    </row>
    <row r="967" spans="1:26" ht="14.4" x14ac:dyDescent="0.3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4"/>
      <c r="L967" s="74"/>
      <c r="M967" s="74"/>
      <c r="N967" s="74"/>
      <c r="O967" s="74"/>
      <c r="P967" s="74"/>
      <c r="Q967" s="74"/>
      <c r="R967" s="74"/>
      <c r="S967" s="74"/>
      <c r="T967" s="74"/>
      <c r="U967" s="74"/>
      <c r="V967" s="74"/>
      <c r="W967" s="74"/>
      <c r="X967" s="74"/>
      <c r="Y967" s="74"/>
      <c r="Z967" s="74"/>
    </row>
    <row r="968" spans="1:26" ht="14.4" x14ac:dyDescent="0.3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4"/>
      <c r="L968" s="74"/>
      <c r="M968" s="74"/>
      <c r="N968" s="74"/>
      <c r="O968" s="74"/>
      <c r="P968" s="74"/>
      <c r="Q968" s="74"/>
      <c r="R968" s="74"/>
      <c r="S968" s="74"/>
      <c r="T968" s="74"/>
      <c r="U968" s="74"/>
      <c r="V968" s="74"/>
      <c r="W968" s="74"/>
      <c r="X968" s="74"/>
      <c r="Y968" s="74"/>
      <c r="Z968" s="74"/>
    </row>
    <row r="969" spans="1:26" ht="14.4" x14ac:dyDescent="0.3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4"/>
      <c r="L969" s="74"/>
      <c r="M969" s="74"/>
      <c r="N969" s="74"/>
      <c r="O969" s="74"/>
      <c r="P969" s="74"/>
      <c r="Q969" s="74"/>
      <c r="R969" s="74"/>
      <c r="S969" s="74"/>
      <c r="T969" s="74"/>
      <c r="U969" s="74"/>
      <c r="V969" s="74"/>
      <c r="W969" s="74"/>
      <c r="X969" s="74"/>
      <c r="Y969" s="74"/>
      <c r="Z969" s="74"/>
    </row>
    <row r="970" spans="1:26" ht="14.4" x14ac:dyDescent="0.3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4"/>
      <c r="L970" s="74"/>
      <c r="M970" s="74"/>
      <c r="N970" s="74"/>
      <c r="O970" s="74"/>
      <c r="P970" s="74"/>
      <c r="Q970" s="74"/>
      <c r="R970" s="74"/>
      <c r="S970" s="74"/>
      <c r="T970" s="74"/>
      <c r="U970" s="74"/>
      <c r="V970" s="74"/>
      <c r="W970" s="74"/>
      <c r="X970" s="74"/>
      <c r="Y970" s="74"/>
      <c r="Z970" s="74"/>
    </row>
    <row r="971" spans="1:26" ht="14.4" x14ac:dyDescent="0.3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4"/>
      <c r="L971" s="74"/>
      <c r="M971" s="74"/>
      <c r="N971" s="74"/>
      <c r="O971" s="74"/>
      <c r="P971" s="74"/>
      <c r="Q971" s="74"/>
      <c r="R971" s="74"/>
      <c r="S971" s="74"/>
      <c r="T971" s="74"/>
      <c r="U971" s="74"/>
      <c r="V971" s="74"/>
      <c r="W971" s="74"/>
      <c r="X971" s="74"/>
      <c r="Y971" s="74"/>
      <c r="Z971" s="74"/>
    </row>
    <row r="972" spans="1:26" ht="14.4" x14ac:dyDescent="0.3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4"/>
      <c r="L972" s="74"/>
      <c r="M972" s="74"/>
      <c r="N972" s="74"/>
      <c r="O972" s="74"/>
      <c r="P972" s="74"/>
      <c r="Q972" s="74"/>
      <c r="R972" s="74"/>
      <c r="S972" s="74"/>
      <c r="T972" s="74"/>
      <c r="U972" s="74"/>
      <c r="V972" s="74"/>
      <c r="W972" s="74"/>
      <c r="X972" s="74"/>
      <c r="Y972" s="74"/>
      <c r="Z972" s="74"/>
    </row>
    <row r="973" spans="1:26" ht="14.4" x14ac:dyDescent="0.3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4"/>
      <c r="L973" s="74"/>
      <c r="M973" s="74"/>
      <c r="N973" s="74"/>
      <c r="O973" s="74"/>
      <c r="P973" s="74"/>
      <c r="Q973" s="74"/>
      <c r="R973" s="74"/>
      <c r="S973" s="74"/>
      <c r="T973" s="74"/>
      <c r="U973" s="74"/>
      <c r="V973" s="74"/>
      <c r="W973" s="74"/>
      <c r="X973" s="74"/>
      <c r="Y973" s="74"/>
      <c r="Z973" s="74"/>
    </row>
    <row r="974" spans="1:26" ht="14.4" x14ac:dyDescent="0.3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4"/>
      <c r="L974" s="74"/>
      <c r="M974" s="74"/>
      <c r="N974" s="74"/>
      <c r="O974" s="74"/>
      <c r="P974" s="74"/>
      <c r="Q974" s="74"/>
      <c r="R974" s="74"/>
      <c r="S974" s="74"/>
      <c r="T974" s="74"/>
      <c r="U974" s="74"/>
      <c r="V974" s="74"/>
      <c r="W974" s="74"/>
      <c r="X974" s="74"/>
      <c r="Y974" s="74"/>
      <c r="Z974" s="74"/>
    </row>
    <row r="975" spans="1:26" ht="14.4" x14ac:dyDescent="0.3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4"/>
      <c r="L975" s="74"/>
      <c r="M975" s="74"/>
      <c r="N975" s="74"/>
      <c r="O975" s="74"/>
      <c r="P975" s="74"/>
      <c r="Q975" s="74"/>
      <c r="R975" s="74"/>
      <c r="S975" s="74"/>
      <c r="T975" s="74"/>
      <c r="U975" s="74"/>
      <c r="V975" s="74"/>
      <c r="W975" s="74"/>
      <c r="X975" s="74"/>
      <c r="Y975" s="74"/>
      <c r="Z975" s="74"/>
    </row>
    <row r="976" spans="1:26" ht="14.4" x14ac:dyDescent="0.3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4"/>
      <c r="L976" s="74"/>
      <c r="M976" s="74"/>
      <c r="N976" s="74"/>
      <c r="O976" s="74"/>
      <c r="P976" s="74"/>
      <c r="Q976" s="74"/>
      <c r="R976" s="74"/>
      <c r="S976" s="74"/>
      <c r="T976" s="74"/>
      <c r="U976" s="74"/>
      <c r="V976" s="74"/>
      <c r="W976" s="74"/>
      <c r="X976" s="74"/>
      <c r="Y976" s="74"/>
      <c r="Z976" s="74"/>
    </row>
    <row r="977" spans="1:26" ht="14.4" x14ac:dyDescent="0.3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4"/>
      <c r="L977" s="74"/>
      <c r="M977" s="74"/>
      <c r="N977" s="74"/>
      <c r="O977" s="74"/>
      <c r="P977" s="74"/>
      <c r="Q977" s="74"/>
      <c r="R977" s="74"/>
      <c r="S977" s="74"/>
      <c r="T977" s="74"/>
      <c r="U977" s="74"/>
      <c r="V977" s="74"/>
      <c r="W977" s="74"/>
      <c r="X977" s="74"/>
      <c r="Y977" s="74"/>
      <c r="Z977" s="74"/>
    </row>
    <row r="978" spans="1:26" ht="14.4" x14ac:dyDescent="0.3">
      <c r="A978" s="73"/>
      <c r="B978" s="73"/>
      <c r="C978" s="73"/>
      <c r="D978" s="73"/>
      <c r="E978" s="73"/>
      <c r="F978" s="73"/>
      <c r="G978" s="73"/>
      <c r="H978" s="73"/>
      <c r="I978" s="73"/>
      <c r="J978" s="73"/>
      <c r="K978" s="74"/>
      <c r="L978" s="74"/>
      <c r="M978" s="74"/>
      <c r="N978" s="74"/>
      <c r="O978" s="74"/>
      <c r="P978" s="74"/>
      <c r="Q978" s="74"/>
      <c r="R978" s="74"/>
      <c r="S978" s="74"/>
      <c r="T978" s="74"/>
      <c r="U978" s="74"/>
      <c r="V978" s="74"/>
      <c r="W978" s="74"/>
      <c r="X978" s="74"/>
      <c r="Y978" s="74"/>
      <c r="Z978" s="74"/>
    </row>
    <row r="979" spans="1:26" ht="14.4" x14ac:dyDescent="0.3">
      <c r="A979" s="73"/>
      <c r="B979" s="73"/>
      <c r="C979" s="73"/>
      <c r="D979" s="73"/>
      <c r="E979" s="73"/>
      <c r="F979" s="73"/>
      <c r="G979" s="73"/>
      <c r="H979" s="73"/>
      <c r="I979" s="73"/>
      <c r="J979" s="73"/>
      <c r="K979" s="74"/>
      <c r="L979" s="74"/>
      <c r="M979" s="74"/>
      <c r="N979" s="74"/>
      <c r="O979" s="74"/>
      <c r="P979" s="74"/>
      <c r="Q979" s="74"/>
      <c r="R979" s="74"/>
      <c r="S979" s="74"/>
      <c r="T979" s="74"/>
      <c r="U979" s="74"/>
      <c r="V979" s="74"/>
      <c r="W979" s="74"/>
      <c r="X979" s="74"/>
      <c r="Y979" s="74"/>
      <c r="Z979" s="74"/>
    </row>
    <row r="980" spans="1:26" ht="14.4" x14ac:dyDescent="0.3">
      <c r="A980" s="73"/>
      <c r="B980" s="73"/>
      <c r="C980" s="73"/>
      <c r="D980" s="73"/>
      <c r="E980" s="73"/>
      <c r="F980" s="73"/>
      <c r="G980" s="73"/>
      <c r="H980" s="73"/>
      <c r="I980" s="73"/>
      <c r="J980" s="73"/>
      <c r="K980" s="74"/>
      <c r="L980" s="74"/>
      <c r="M980" s="74"/>
      <c r="N980" s="74"/>
      <c r="O980" s="74"/>
      <c r="P980" s="74"/>
      <c r="Q980" s="74"/>
      <c r="R980" s="74"/>
      <c r="S980" s="74"/>
      <c r="T980" s="74"/>
      <c r="U980" s="74"/>
      <c r="V980" s="74"/>
      <c r="W980" s="74"/>
      <c r="X980" s="74"/>
      <c r="Y980" s="74"/>
      <c r="Z980" s="74"/>
    </row>
    <row r="981" spans="1:26" ht="14.4" x14ac:dyDescent="0.3">
      <c r="A981" s="73"/>
      <c r="B981" s="73"/>
      <c r="C981" s="73"/>
      <c r="D981" s="73"/>
      <c r="E981" s="73"/>
      <c r="F981" s="73"/>
      <c r="G981" s="73"/>
      <c r="H981" s="73"/>
      <c r="I981" s="73"/>
      <c r="J981" s="73"/>
      <c r="K981" s="74"/>
      <c r="L981" s="74"/>
      <c r="M981" s="74"/>
      <c r="N981" s="74"/>
      <c r="O981" s="74"/>
      <c r="P981" s="74"/>
      <c r="Q981" s="74"/>
      <c r="R981" s="74"/>
      <c r="S981" s="74"/>
      <c r="T981" s="74"/>
      <c r="U981" s="74"/>
      <c r="V981" s="74"/>
      <c r="W981" s="74"/>
      <c r="X981" s="74"/>
      <c r="Y981" s="74"/>
      <c r="Z981" s="74"/>
    </row>
    <row r="982" spans="1:26" ht="14.4" x14ac:dyDescent="0.3">
      <c r="A982" s="73"/>
      <c r="B982" s="73"/>
      <c r="C982" s="73"/>
      <c r="D982" s="73"/>
      <c r="E982" s="73"/>
      <c r="F982" s="73"/>
      <c r="G982" s="73"/>
      <c r="H982" s="73"/>
      <c r="I982" s="73"/>
      <c r="J982" s="73"/>
      <c r="K982" s="74"/>
      <c r="L982" s="74"/>
      <c r="M982" s="74"/>
      <c r="N982" s="74"/>
      <c r="O982" s="74"/>
      <c r="P982" s="74"/>
      <c r="Q982" s="74"/>
      <c r="R982" s="74"/>
      <c r="S982" s="74"/>
      <c r="T982" s="74"/>
      <c r="U982" s="74"/>
      <c r="V982" s="74"/>
      <c r="W982" s="74"/>
      <c r="X982" s="74"/>
      <c r="Y982" s="74"/>
      <c r="Z982" s="74"/>
    </row>
    <row r="983" spans="1:26" ht="14.4" x14ac:dyDescent="0.3">
      <c r="A983" s="73"/>
      <c r="B983" s="73"/>
      <c r="C983" s="73"/>
      <c r="D983" s="73"/>
      <c r="E983" s="73"/>
      <c r="F983" s="73"/>
      <c r="G983" s="73"/>
      <c r="H983" s="73"/>
      <c r="I983" s="73"/>
      <c r="J983" s="73"/>
      <c r="K983" s="74"/>
      <c r="L983" s="74"/>
      <c r="M983" s="74"/>
      <c r="N983" s="74"/>
      <c r="O983" s="74"/>
      <c r="P983" s="74"/>
      <c r="Q983" s="74"/>
      <c r="R983" s="74"/>
      <c r="S983" s="74"/>
      <c r="T983" s="74"/>
      <c r="U983" s="74"/>
      <c r="V983" s="74"/>
      <c r="W983" s="74"/>
      <c r="X983" s="74"/>
      <c r="Y983" s="74"/>
      <c r="Z983" s="74"/>
    </row>
    <row r="984" spans="1:26" ht="14.4" x14ac:dyDescent="0.3">
      <c r="A984" s="73"/>
      <c r="B984" s="73"/>
      <c r="C984" s="73"/>
      <c r="D984" s="73"/>
      <c r="E984" s="73"/>
      <c r="F984" s="73"/>
      <c r="G984" s="73"/>
      <c r="H984" s="73"/>
      <c r="I984" s="73"/>
      <c r="J984" s="73"/>
      <c r="K984" s="74"/>
      <c r="L984" s="74"/>
      <c r="M984" s="74"/>
      <c r="N984" s="74"/>
      <c r="O984" s="74"/>
      <c r="P984" s="74"/>
      <c r="Q984" s="74"/>
      <c r="R984" s="74"/>
      <c r="S984" s="74"/>
      <c r="T984" s="74"/>
      <c r="U984" s="74"/>
      <c r="V984" s="74"/>
      <c r="W984" s="74"/>
      <c r="X984" s="74"/>
      <c r="Y984" s="74"/>
      <c r="Z984" s="74"/>
    </row>
    <row r="985" spans="1:26" ht="14.4" x14ac:dyDescent="0.3">
      <c r="A985" s="73"/>
      <c r="B985" s="73"/>
      <c r="C985" s="73"/>
      <c r="D985" s="73"/>
      <c r="E985" s="73"/>
      <c r="F985" s="73"/>
      <c r="G985" s="73"/>
      <c r="H985" s="73"/>
      <c r="I985" s="73"/>
      <c r="J985" s="73"/>
      <c r="K985" s="74"/>
      <c r="L985" s="74"/>
      <c r="M985" s="74"/>
      <c r="N985" s="74"/>
      <c r="O985" s="74"/>
      <c r="P985" s="74"/>
      <c r="Q985" s="74"/>
      <c r="R985" s="74"/>
      <c r="S985" s="74"/>
      <c r="T985" s="74"/>
      <c r="U985" s="74"/>
      <c r="V985" s="74"/>
      <c r="W985" s="74"/>
      <c r="X985" s="74"/>
      <c r="Y985" s="74"/>
      <c r="Z985" s="74"/>
    </row>
    <row r="986" spans="1:26" ht="14.4" x14ac:dyDescent="0.3">
      <c r="A986" s="73"/>
      <c r="B986" s="73"/>
      <c r="C986" s="73"/>
      <c r="D986" s="73"/>
      <c r="E986" s="73"/>
      <c r="F986" s="73"/>
      <c r="G986" s="73"/>
      <c r="H986" s="73"/>
      <c r="I986" s="73"/>
      <c r="J986" s="73"/>
      <c r="K986" s="74"/>
      <c r="L986" s="74"/>
      <c r="M986" s="74"/>
      <c r="N986" s="74"/>
      <c r="O986" s="74"/>
      <c r="P986" s="74"/>
      <c r="Q986" s="74"/>
      <c r="R986" s="74"/>
      <c r="S986" s="74"/>
      <c r="T986" s="74"/>
      <c r="U986" s="74"/>
      <c r="V986" s="74"/>
      <c r="W986" s="74"/>
      <c r="X986" s="74"/>
      <c r="Y986" s="74"/>
      <c r="Z986" s="74"/>
    </row>
    <row r="987" spans="1:26" ht="14.4" x14ac:dyDescent="0.3">
      <c r="A987" s="73"/>
      <c r="B987" s="73"/>
      <c r="C987" s="73"/>
      <c r="D987" s="73"/>
      <c r="E987" s="73"/>
      <c r="F987" s="73"/>
      <c r="G987" s="73"/>
      <c r="H987" s="73"/>
      <c r="I987" s="73"/>
      <c r="J987" s="73"/>
      <c r="K987" s="74"/>
      <c r="L987" s="74"/>
      <c r="M987" s="74"/>
      <c r="N987" s="74"/>
      <c r="O987" s="74"/>
      <c r="P987" s="74"/>
      <c r="Q987" s="74"/>
      <c r="R987" s="74"/>
      <c r="S987" s="74"/>
      <c r="T987" s="74"/>
      <c r="U987" s="74"/>
      <c r="V987" s="74"/>
      <c r="W987" s="74"/>
      <c r="X987" s="74"/>
      <c r="Y987" s="74"/>
      <c r="Z987" s="74"/>
    </row>
    <row r="988" spans="1:26" ht="14.4" x14ac:dyDescent="0.3">
      <c r="A988" s="73"/>
      <c r="B988" s="73"/>
      <c r="C988" s="73"/>
      <c r="D988" s="73"/>
      <c r="E988" s="73"/>
      <c r="F988" s="73"/>
      <c r="G988" s="73"/>
      <c r="H988" s="73"/>
      <c r="I988" s="73"/>
      <c r="J988" s="73"/>
      <c r="K988" s="74"/>
      <c r="L988" s="74"/>
      <c r="M988" s="74"/>
      <c r="N988" s="74"/>
      <c r="O988" s="74"/>
      <c r="P988" s="74"/>
      <c r="Q988" s="74"/>
      <c r="R988" s="74"/>
      <c r="S988" s="74"/>
      <c r="T988" s="74"/>
      <c r="U988" s="74"/>
      <c r="V988" s="74"/>
      <c r="W988" s="74"/>
      <c r="X988" s="74"/>
      <c r="Y988" s="74"/>
      <c r="Z988" s="74"/>
    </row>
    <row r="989" spans="1:26" ht="14.4" x14ac:dyDescent="0.3">
      <c r="A989" s="73"/>
      <c r="B989" s="73"/>
      <c r="C989" s="73"/>
      <c r="D989" s="73"/>
      <c r="E989" s="73"/>
      <c r="F989" s="73"/>
      <c r="G989" s="73"/>
      <c r="H989" s="73"/>
      <c r="I989" s="73"/>
      <c r="J989" s="73"/>
      <c r="K989" s="74"/>
      <c r="L989" s="74"/>
      <c r="M989" s="74"/>
      <c r="N989" s="74"/>
      <c r="O989" s="74"/>
      <c r="P989" s="74"/>
      <c r="Q989" s="74"/>
      <c r="R989" s="74"/>
      <c r="S989" s="74"/>
      <c r="T989" s="74"/>
      <c r="U989" s="74"/>
      <c r="V989" s="74"/>
      <c r="W989" s="74"/>
      <c r="X989" s="74"/>
      <c r="Y989" s="74"/>
      <c r="Z989" s="74"/>
    </row>
    <row r="990" spans="1:26" ht="14.4" x14ac:dyDescent="0.3">
      <c r="A990" s="73"/>
      <c r="B990" s="73"/>
      <c r="C990" s="73"/>
      <c r="D990" s="73"/>
      <c r="E990" s="73"/>
      <c r="F990" s="73"/>
      <c r="G990" s="73"/>
      <c r="H990" s="73"/>
      <c r="I990" s="73"/>
      <c r="J990" s="73"/>
      <c r="K990" s="74"/>
      <c r="L990" s="74"/>
      <c r="M990" s="74"/>
      <c r="N990" s="74"/>
      <c r="O990" s="74"/>
      <c r="P990" s="74"/>
      <c r="Q990" s="74"/>
      <c r="R990" s="74"/>
      <c r="S990" s="74"/>
      <c r="T990" s="74"/>
      <c r="U990" s="74"/>
      <c r="V990" s="74"/>
      <c r="W990" s="74"/>
      <c r="X990" s="74"/>
      <c r="Y990" s="74"/>
      <c r="Z990" s="74"/>
    </row>
    <row r="991" spans="1:26" ht="14.4" x14ac:dyDescent="0.3">
      <c r="A991" s="73"/>
      <c r="B991" s="73"/>
      <c r="C991" s="73"/>
      <c r="D991" s="73"/>
      <c r="E991" s="73"/>
      <c r="F991" s="73"/>
      <c r="G991" s="73"/>
      <c r="H991" s="73"/>
      <c r="I991" s="73"/>
      <c r="J991" s="73"/>
      <c r="K991" s="74"/>
      <c r="L991" s="74"/>
      <c r="M991" s="74"/>
      <c r="N991" s="74"/>
      <c r="O991" s="74"/>
      <c r="P991" s="74"/>
      <c r="Q991" s="74"/>
      <c r="R991" s="74"/>
      <c r="S991" s="74"/>
      <c r="T991" s="74"/>
      <c r="U991" s="74"/>
      <c r="V991" s="74"/>
      <c r="W991" s="74"/>
      <c r="X991" s="74"/>
      <c r="Y991" s="74"/>
      <c r="Z991" s="74"/>
    </row>
    <row r="992" spans="1:26" ht="14.4" x14ac:dyDescent="0.3">
      <c r="A992" s="73"/>
      <c r="B992" s="73"/>
      <c r="C992" s="73"/>
      <c r="D992" s="73"/>
      <c r="E992" s="73"/>
      <c r="F992" s="73"/>
      <c r="G992" s="73"/>
      <c r="H992" s="73"/>
      <c r="I992" s="73"/>
      <c r="J992" s="73"/>
      <c r="K992" s="74"/>
      <c r="L992" s="74"/>
      <c r="M992" s="74"/>
      <c r="N992" s="74"/>
      <c r="O992" s="74"/>
      <c r="P992" s="74"/>
      <c r="Q992" s="74"/>
      <c r="R992" s="74"/>
      <c r="S992" s="74"/>
      <c r="T992" s="74"/>
      <c r="U992" s="74"/>
      <c r="V992" s="74"/>
      <c r="W992" s="74"/>
      <c r="X992" s="74"/>
      <c r="Y992" s="74"/>
      <c r="Z992" s="74"/>
    </row>
    <row r="993" spans="1:26" ht="14.4" x14ac:dyDescent="0.3">
      <c r="A993" s="73"/>
      <c r="B993" s="73"/>
      <c r="C993" s="73"/>
      <c r="D993" s="73"/>
      <c r="E993" s="73"/>
      <c r="F993" s="73"/>
      <c r="G993" s="73"/>
      <c r="H993" s="73"/>
      <c r="I993" s="73"/>
      <c r="J993" s="73"/>
      <c r="K993" s="74"/>
      <c r="L993" s="74"/>
      <c r="M993" s="74"/>
      <c r="N993" s="74"/>
      <c r="O993" s="74"/>
      <c r="P993" s="74"/>
      <c r="Q993" s="74"/>
      <c r="R993" s="74"/>
      <c r="S993" s="74"/>
      <c r="T993" s="74"/>
      <c r="U993" s="74"/>
      <c r="V993" s="74"/>
      <c r="W993" s="74"/>
      <c r="X993" s="74"/>
      <c r="Y993" s="74"/>
      <c r="Z993" s="74"/>
    </row>
    <row r="994" spans="1:26" ht="14.4" x14ac:dyDescent="0.3">
      <c r="A994" s="73"/>
      <c r="B994" s="73"/>
      <c r="C994" s="73"/>
      <c r="D994" s="73"/>
      <c r="E994" s="73"/>
      <c r="F994" s="73"/>
      <c r="G994" s="73"/>
      <c r="H994" s="73"/>
      <c r="I994" s="73"/>
      <c r="J994" s="73"/>
      <c r="K994" s="74"/>
      <c r="L994" s="74"/>
      <c r="M994" s="74"/>
      <c r="N994" s="74"/>
      <c r="O994" s="74"/>
      <c r="P994" s="74"/>
      <c r="Q994" s="74"/>
      <c r="R994" s="74"/>
      <c r="S994" s="74"/>
      <c r="T994" s="74"/>
      <c r="U994" s="74"/>
      <c r="V994" s="74"/>
      <c r="W994" s="74"/>
      <c r="X994" s="74"/>
      <c r="Y994" s="74"/>
      <c r="Z994" s="74"/>
    </row>
    <row r="995" spans="1:26" ht="14.4" x14ac:dyDescent="0.3">
      <c r="A995" s="73"/>
      <c r="B995" s="73"/>
      <c r="C995" s="73"/>
      <c r="D995" s="73"/>
      <c r="E995" s="73"/>
      <c r="F995" s="73"/>
      <c r="G995" s="73"/>
      <c r="H995" s="73"/>
      <c r="I995" s="73"/>
      <c r="J995" s="73"/>
      <c r="K995" s="74"/>
      <c r="L995" s="74"/>
      <c r="M995" s="74"/>
      <c r="N995" s="74"/>
      <c r="O995" s="74"/>
      <c r="P995" s="74"/>
      <c r="Q995" s="74"/>
      <c r="R995" s="74"/>
      <c r="S995" s="74"/>
      <c r="T995" s="74"/>
      <c r="U995" s="74"/>
      <c r="V995" s="74"/>
      <c r="W995" s="74"/>
      <c r="X995" s="74"/>
      <c r="Y995" s="74"/>
      <c r="Z995" s="74"/>
    </row>
    <row r="996" spans="1:26" ht="14.4" x14ac:dyDescent="0.3">
      <c r="A996" s="73"/>
      <c r="B996" s="73"/>
      <c r="C996" s="73"/>
      <c r="D996" s="73"/>
      <c r="E996" s="73"/>
      <c r="F996" s="73"/>
      <c r="G996" s="73"/>
      <c r="H996" s="73"/>
      <c r="I996" s="73"/>
      <c r="J996" s="73"/>
      <c r="K996" s="74"/>
      <c r="L996" s="74"/>
      <c r="M996" s="74"/>
      <c r="N996" s="74"/>
      <c r="O996" s="74"/>
      <c r="P996" s="74"/>
      <c r="Q996" s="74"/>
      <c r="R996" s="74"/>
      <c r="S996" s="74"/>
      <c r="T996" s="74"/>
      <c r="U996" s="74"/>
      <c r="V996" s="74"/>
      <c r="W996" s="74"/>
      <c r="X996" s="74"/>
      <c r="Y996" s="74"/>
      <c r="Z996" s="74"/>
    </row>
    <row r="997" spans="1:26" ht="14.4" x14ac:dyDescent="0.3">
      <c r="A997" s="73"/>
      <c r="B997" s="73"/>
      <c r="C997" s="73"/>
      <c r="D997" s="73"/>
      <c r="E997" s="73"/>
      <c r="F997" s="73"/>
      <c r="G997" s="73"/>
      <c r="H997" s="73"/>
      <c r="I997" s="73"/>
      <c r="J997" s="73"/>
      <c r="K997" s="74"/>
      <c r="L997" s="74"/>
      <c r="M997" s="74"/>
      <c r="N997" s="74"/>
      <c r="O997" s="74"/>
      <c r="P997" s="74"/>
      <c r="Q997" s="74"/>
      <c r="R997" s="74"/>
      <c r="S997" s="74"/>
      <c r="T997" s="74"/>
      <c r="U997" s="74"/>
      <c r="V997" s="74"/>
      <c r="W997" s="74"/>
      <c r="X997" s="74"/>
      <c r="Y997" s="74"/>
      <c r="Z997" s="74"/>
    </row>
    <row r="998" spans="1:26" ht="14.4" x14ac:dyDescent="0.3">
      <c r="A998" s="73"/>
      <c r="B998" s="73"/>
      <c r="C998" s="73"/>
      <c r="D998" s="73"/>
      <c r="E998" s="73"/>
      <c r="F998" s="73"/>
      <c r="G998" s="73"/>
      <c r="H998" s="73"/>
      <c r="I998" s="73"/>
      <c r="J998" s="73"/>
      <c r="K998" s="74"/>
      <c r="L998" s="74"/>
      <c r="M998" s="74"/>
      <c r="N998" s="74"/>
      <c r="O998" s="74"/>
      <c r="P998" s="74"/>
      <c r="Q998" s="74"/>
      <c r="R998" s="74"/>
      <c r="S998" s="74"/>
      <c r="T998" s="74"/>
      <c r="U998" s="74"/>
      <c r="V998" s="74"/>
      <c r="W998" s="74"/>
      <c r="X998" s="74"/>
      <c r="Y998" s="74"/>
      <c r="Z998" s="74"/>
    </row>
    <row r="999" spans="1:26" ht="14.4" x14ac:dyDescent="0.3">
      <c r="A999" s="73"/>
      <c r="B999" s="73"/>
      <c r="C999" s="73"/>
      <c r="D999" s="73"/>
      <c r="E999" s="73"/>
      <c r="F999" s="73"/>
      <c r="G999" s="73"/>
      <c r="H999" s="73"/>
      <c r="I999" s="73"/>
      <c r="J999" s="73"/>
      <c r="K999" s="74"/>
      <c r="L999" s="74"/>
      <c r="M999" s="74"/>
      <c r="N999" s="74"/>
      <c r="O999" s="74"/>
      <c r="P999" s="74"/>
      <c r="Q999" s="74"/>
      <c r="R999" s="74"/>
      <c r="S999" s="74"/>
      <c r="T999" s="74"/>
      <c r="U999" s="74"/>
      <c r="V999" s="74"/>
      <c r="W999" s="74"/>
      <c r="X999" s="74"/>
      <c r="Y999" s="74"/>
      <c r="Z999" s="74"/>
    </row>
    <row r="1000" spans="1:26" ht="14.4" x14ac:dyDescent="0.3">
      <c r="A1000" s="73"/>
      <c r="B1000" s="73"/>
      <c r="C1000" s="73"/>
      <c r="D1000" s="73"/>
      <c r="E1000" s="73"/>
      <c r="F1000" s="73"/>
      <c r="G1000" s="73"/>
      <c r="H1000" s="73"/>
      <c r="I1000" s="73"/>
      <c r="J1000" s="73"/>
      <c r="K1000" s="74"/>
      <c r="L1000" s="74"/>
      <c r="M1000" s="74"/>
      <c r="N1000" s="74"/>
      <c r="O1000" s="74"/>
      <c r="P1000" s="74"/>
      <c r="Q1000" s="74"/>
      <c r="R1000" s="74"/>
      <c r="S1000" s="74"/>
      <c r="T1000" s="74"/>
      <c r="U1000" s="74"/>
      <c r="V1000" s="74"/>
      <c r="W1000" s="74"/>
      <c r="X1000" s="74"/>
      <c r="Y1000" s="74"/>
      <c r="Z1000" s="74"/>
    </row>
    <row r="1001" spans="1:26" ht="14.4" x14ac:dyDescent="0.3">
      <c r="A1001" s="73"/>
      <c r="B1001" s="73"/>
      <c r="C1001" s="73"/>
      <c r="D1001" s="73"/>
      <c r="E1001" s="73"/>
      <c r="F1001" s="73"/>
      <c r="G1001" s="73"/>
      <c r="H1001" s="73"/>
      <c r="I1001" s="73"/>
      <c r="J1001" s="73"/>
      <c r="K1001" s="74"/>
      <c r="L1001" s="74"/>
      <c r="M1001" s="74"/>
      <c r="N1001" s="74"/>
      <c r="O1001" s="74"/>
      <c r="P1001" s="74"/>
      <c r="Q1001" s="74"/>
      <c r="R1001" s="74"/>
      <c r="S1001" s="74"/>
      <c r="T1001" s="74"/>
      <c r="U1001" s="74"/>
      <c r="V1001" s="74"/>
      <c r="W1001" s="74"/>
      <c r="X1001" s="74"/>
      <c r="Y1001" s="74"/>
      <c r="Z1001" s="74"/>
    </row>
    <row r="1002" spans="1:26" ht="14.4" x14ac:dyDescent="0.3">
      <c r="A1002" s="73"/>
      <c r="B1002" s="73"/>
      <c r="C1002" s="73"/>
      <c r="D1002" s="73"/>
      <c r="E1002" s="73"/>
      <c r="F1002" s="73"/>
      <c r="G1002" s="73"/>
      <c r="H1002" s="73"/>
      <c r="I1002" s="73"/>
      <c r="J1002" s="73"/>
      <c r="K1002" s="74"/>
      <c r="L1002" s="74"/>
      <c r="M1002" s="74"/>
      <c r="N1002" s="74"/>
      <c r="O1002" s="74"/>
      <c r="P1002" s="74"/>
      <c r="Q1002" s="74"/>
      <c r="R1002" s="74"/>
      <c r="S1002" s="74"/>
      <c r="T1002" s="74"/>
      <c r="U1002" s="74"/>
      <c r="V1002" s="74"/>
      <c r="W1002" s="74"/>
      <c r="X1002" s="74"/>
      <c r="Y1002" s="74"/>
      <c r="Z1002" s="74"/>
    </row>
    <row r="1003" spans="1:26" ht="14.4" x14ac:dyDescent="0.3">
      <c r="A1003" s="73"/>
      <c r="B1003" s="73"/>
      <c r="C1003" s="73"/>
      <c r="D1003" s="73"/>
      <c r="E1003" s="73"/>
      <c r="F1003" s="73"/>
      <c r="G1003" s="73"/>
      <c r="H1003" s="73"/>
      <c r="I1003" s="73"/>
      <c r="J1003" s="73"/>
      <c r="K1003" s="74"/>
      <c r="L1003" s="74"/>
      <c r="M1003" s="74"/>
      <c r="N1003" s="74"/>
      <c r="O1003" s="74"/>
      <c r="P1003" s="74"/>
      <c r="Q1003" s="74"/>
      <c r="R1003" s="74"/>
      <c r="S1003" s="74"/>
      <c r="T1003" s="74"/>
      <c r="U1003" s="74"/>
      <c r="V1003" s="74"/>
      <c r="W1003" s="74"/>
      <c r="X1003" s="74"/>
      <c r="Y1003" s="74"/>
      <c r="Z1003" s="74"/>
    </row>
  </sheetData>
  <mergeCells count="99">
    <mergeCell ref="B115:B118"/>
    <mergeCell ref="C115:C118"/>
    <mergeCell ref="D115:D118"/>
    <mergeCell ref="E115:E118"/>
    <mergeCell ref="B120:B123"/>
    <mergeCell ref="C120:C123"/>
    <mergeCell ref="D120:D123"/>
    <mergeCell ref="E120:E123"/>
    <mergeCell ref="D90:D93"/>
    <mergeCell ref="E90:E93"/>
    <mergeCell ref="B80:B83"/>
    <mergeCell ref="B85:B88"/>
    <mergeCell ref="C85:C88"/>
    <mergeCell ref="D85:D88"/>
    <mergeCell ref="E85:E88"/>
    <mergeCell ref="B90:B93"/>
    <mergeCell ref="C90:C93"/>
    <mergeCell ref="B75:B78"/>
    <mergeCell ref="C75:C78"/>
    <mergeCell ref="D75:D78"/>
    <mergeCell ref="E75:E78"/>
    <mergeCell ref="C80:C83"/>
    <mergeCell ref="D80:D83"/>
    <mergeCell ref="E80:E83"/>
    <mergeCell ref="B105:B108"/>
    <mergeCell ref="C105:C108"/>
    <mergeCell ref="D105:D108"/>
    <mergeCell ref="E105:E108"/>
    <mergeCell ref="B110:B113"/>
    <mergeCell ref="C110:C113"/>
    <mergeCell ref="D110:D113"/>
    <mergeCell ref="E110:E113"/>
    <mergeCell ref="B95:B98"/>
    <mergeCell ref="C95:C98"/>
    <mergeCell ref="D95:D98"/>
    <mergeCell ref="E95:E98"/>
    <mergeCell ref="C100:C103"/>
    <mergeCell ref="D100:D103"/>
    <mergeCell ref="E100:E103"/>
    <mergeCell ref="B100:B103"/>
    <mergeCell ref="E46:E49"/>
    <mergeCell ref="B70:B73"/>
    <mergeCell ref="C70:C73"/>
    <mergeCell ref="D70:D73"/>
    <mergeCell ref="E70:E73"/>
    <mergeCell ref="D66:D68"/>
    <mergeCell ref="E66:E68"/>
    <mergeCell ref="B56:B59"/>
    <mergeCell ref="B61:B64"/>
    <mergeCell ref="C61:C64"/>
    <mergeCell ref="D61:D64"/>
    <mergeCell ref="E61:E64"/>
    <mergeCell ref="B66:B68"/>
    <mergeCell ref="C66:C68"/>
    <mergeCell ref="B31:B34"/>
    <mergeCell ref="C31:C34"/>
    <mergeCell ref="D31:D34"/>
    <mergeCell ref="E31:E34"/>
    <mergeCell ref="C36:C39"/>
    <mergeCell ref="D36:D39"/>
    <mergeCell ref="E36:E39"/>
    <mergeCell ref="D16:D19"/>
    <mergeCell ref="E16:E19"/>
    <mergeCell ref="D26:D29"/>
    <mergeCell ref="E26:E29"/>
    <mergeCell ref="B16:B19"/>
    <mergeCell ref="B21:B24"/>
    <mergeCell ref="C21:C24"/>
    <mergeCell ref="D21:D24"/>
    <mergeCell ref="E21:E24"/>
    <mergeCell ref="B26:B29"/>
    <mergeCell ref="C26:C29"/>
    <mergeCell ref="E51:E54"/>
    <mergeCell ref="C56:C59"/>
    <mergeCell ref="D56:D59"/>
    <mergeCell ref="E56:E59"/>
    <mergeCell ref="B1:J1"/>
    <mergeCell ref="C4:F4"/>
    <mergeCell ref="G4:J4"/>
    <mergeCell ref="B6:B9"/>
    <mergeCell ref="C6:C9"/>
    <mergeCell ref="D6:D9"/>
    <mergeCell ref="E6:E9"/>
    <mergeCell ref="B11:B14"/>
    <mergeCell ref="C11:C14"/>
    <mergeCell ref="D11:D14"/>
    <mergeCell ref="E11:E14"/>
    <mergeCell ref="C16:C19"/>
    <mergeCell ref="B46:B49"/>
    <mergeCell ref="C46:C49"/>
    <mergeCell ref="B51:B54"/>
    <mergeCell ref="C51:C54"/>
    <mergeCell ref="D51:D54"/>
    <mergeCell ref="D46:D49"/>
    <mergeCell ref="B36:B39"/>
    <mergeCell ref="B41:B44"/>
    <mergeCell ref="C41:C44"/>
    <mergeCell ref="D41:D44"/>
    <mergeCell ref="E41:E4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1000"/>
  <sheetViews>
    <sheetView workbookViewId="0"/>
  </sheetViews>
  <sheetFormatPr baseColWidth="10" defaultColWidth="14.44140625" defaultRowHeight="15" customHeight="1" x14ac:dyDescent="0.3"/>
  <cols>
    <col min="1" max="1" width="27.5546875" customWidth="1"/>
  </cols>
  <sheetData>
    <row r="1" spans="1:8" x14ac:dyDescent="0.3">
      <c r="A1" s="75" t="s">
        <v>83</v>
      </c>
      <c r="B1" s="75" t="s">
        <v>6</v>
      </c>
      <c r="C1" s="75" t="s">
        <v>411</v>
      </c>
      <c r="D1" s="75" t="s">
        <v>412</v>
      </c>
      <c r="E1" s="75" t="s">
        <v>413</v>
      </c>
      <c r="F1" s="76" t="s">
        <v>414</v>
      </c>
      <c r="G1" s="76" t="s">
        <v>415</v>
      </c>
      <c r="H1" s="77" t="s">
        <v>416</v>
      </c>
    </row>
    <row r="2" spans="1:8" x14ac:dyDescent="0.3">
      <c r="A2" s="78" t="s">
        <v>85</v>
      </c>
      <c r="B2" s="79">
        <v>3</v>
      </c>
      <c r="C2" s="79">
        <v>4</v>
      </c>
      <c r="D2" s="79">
        <v>8</v>
      </c>
      <c r="E2" s="79">
        <v>4</v>
      </c>
      <c r="F2" s="79">
        <v>2</v>
      </c>
      <c r="G2" s="79">
        <v>21</v>
      </c>
      <c r="H2" s="80">
        <f t="shared" ref="H2:H19" si="0">G2*105000</f>
        <v>2205000</v>
      </c>
    </row>
    <row r="3" spans="1:8" x14ac:dyDescent="0.3">
      <c r="A3" s="78" t="s">
        <v>86</v>
      </c>
      <c r="B3" s="79">
        <v>2</v>
      </c>
      <c r="C3" s="79">
        <v>3</v>
      </c>
      <c r="D3" s="79">
        <v>6</v>
      </c>
      <c r="E3" s="79">
        <v>3</v>
      </c>
      <c r="F3" s="79">
        <v>1</v>
      </c>
      <c r="G3" s="79">
        <v>15</v>
      </c>
      <c r="H3" s="80">
        <f t="shared" si="0"/>
        <v>1575000</v>
      </c>
    </row>
    <row r="4" spans="1:8" x14ac:dyDescent="0.3">
      <c r="A4" s="78" t="s">
        <v>87</v>
      </c>
      <c r="B4" s="79">
        <v>2</v>
      </c>
      <c r="C4" s="79">
        <v>2</v>
      </c>
      <c r="D4" s="79">
        <v>5</v>
      </c>
      <c r="E4" s="79">
        <v>2</v>
      </c>
      <c r="F4" s="79">
        <v>1</v>
      </c>
      <c r="G4" s="79">
        <v>12</v>
      </c>
      <c r="H4" s="80">
        <f t="shared" si="0"/>
        <v>1260000</v>
      </c>
    </row>
    <row r="5" spans="1:8" x14ac:dyDescent="0.3">
      <c r="A5" s="78" t="s">
        <v>88</v>
      </c>
      <c r="B5" s="79">
        <v>2</v>
      </c>
      <c r="C5" s="79">
        <v>2</v>
      </c>
      <c r="D5" s="79">
        <v>5</v>
      </c>
      <c r="E5" s="79">
        <v>2</v>
      </c>
      <c r="F5" s="79">
        <v>1</v>
      </c>
      <c r="G5" s="79">
        <v>12</v>
      </c>
      <c r="H5" s="80">
        <f t="shared" si="0"/>
        <v>1260000</v>
      </c>
    </row>
    <row r="6" spans="1:8" x14ac:dyDescent="0.3">
      <c r="A6" s="81" t="s">
        <v>89</v>
      </c>
      <c r="B6" s="79">
        <v>3</v>
      </c>
      <c r="C6" s="79">
        <v>4</v>
      </c>
      <c r="D6" s="79">
        <v>8</v>
      </c>
      <c r="E6" s="79">
        <v>4</v>
      </c>
      <c r="F6" s="79">
        <v>2</v>
      </c>
      <c r="G6" s="79">
        <v>21</v>
      </c>
      <c r="H6" s="80">
        <f t="shared" si="0"/>
        <v>2205000</v>
      </c>
    </row>
    <row r="7" spans="1:8" x14ac:dyDescent="0.3">
      <c r="A7" s="81" t="s">
        <v>90</v>
      </c>
      <c r="B7" s="79">
        <v>3</v>
      </c>
      <c r="C7" s="79">
        <v>4</v>
      </c>
      <c r="D7" s="79">
        <v>8</v>
      </c>
      <c r="E7" s="79">
        <v>4</v>
      </c>
      <c r="F7" s="79">
        <v>2</v>
      </c>
      <c r="G7" s="79">
        <v>21</v>
      </c>
      <c r="H7" s="80">
        <f t="shared" si="0"/>
        <v>2205000</v>
      </c>
    </row>
    <row r="8" spans="1:8" x14ac:dyDescent="0.3">
      <c r="A8" s="81" t="s">
        <v>91</v>
      </c>
      <c r="B8" s="79">
        <v>3</v>
      </c>
      <c r="C8" s="79">
        <v>5</v>
      </c>
      <c r="D8" s="79">
        <v>10</v>
      </c>
      <c r="E8" s="79">
        <v>5</v>
      </c>
      <c r="F8" s="79">
        <v>2</v>
      </c>
      <c r="G8" s="79">
        <v>25</v>
      </c>
      <c r="H8" s="80">
        <f t="shared" si="0"/>
        <v>2625000</v>
      </c>
    </row>
    <row r="9" spans="1:8" x14ac:dyDescent="0.3">
      <c r="A9" s="81" t="s">
        <v>92</v>
      </c>
      <c r="B9" s="79">
        <v>4</v>
      </c>
      <c r="C9" s="79">
        <v>6</v>
      </c>
      <c r="D9" s="79">
        <v>12</v>
      </c>
      <c r="E9" s="79">
        <v>6</v>
      </c>
      <c r="F9" s="79">
        <v>3</v>
      </c>
      <c r="G9" s="79">
        <v>31</v>
      </c>
      <c r="H9" s="80">
        <f t="shared" si="0"/>
        <v>3255000</v>
      </c>
    </row>
    <row r="10" spans="1:8" x14ac:dyDescent="0.3">
      <c r="A10" s="78" t="s">
        <v>93</v>
      </c>
      <c r="B10" s="79">
        <v>3</v>
      </c>
      <c r="C10" s="79">
        <v>4</v>
      </c>
      <c r="D10" s="79">
        <v>8</v>
      </c>
      <c r="E10" s="79">
        <v>4</v>
      </c>
      <c r="F10" s="79">
        <v>2</v>
      </c>
      <c r="G10" s="79">
        <v>21</v>
      </c>
      <c r="H10" s="80">
        <f t="shared" si="0"/>
        <v>2205000</v>
      </c>
    </row>
    <row r="11" spans="1:8" x14ac:dyDescent="0.3">
      <c r="A11" s="78" t="s">
        <v>94</v>
      </c>
      <c r="B11" s="79">
        <v>2</v>
      </c>
      <c r="C11" s="79">
        <v>3</v>
      </c>
      <c r="D11" s="79">
        <v>6</v>
      </c>
      <c r="E11" s="79">
        <v>3</v>
      </c>
      <c r="F11" s="79">
        <v>1</v>
      </c>
      <c r="G11" s="79">
        <v>15</v>
      </c>
      <c r="H11" s="80">
        <f t="shared" si="0"/>
        <v>1575000</v>
      </c>
    </row>
    <row r="12" spans="1:8" x14ac:dyDescent="0.3">
      <c r="A12" s="78" t="s">
        <v>95</v>
      </c>
      <c r="B12" s="79">
        <v>2</v>
      </c>
      <c r="C12" s="79">
        <v>2</v>
      </c>
      <c r="D12" s="79">
        <v>5</v>
      </c>
      <c r="E12" s="79">
        <v>2</v>
      </c>
      <c r="F12" s="79">
        <v>1</v>
      </c>
      <c r="G12" s="79">
        <v>12</v>
      </c>
      <c r="H12" s="80">
        <f t="shared" si="0"/>
        <v>1260000</v>
      </c>
    </row>
    <row r="13" spans="1:8" x14ac:dyDescent="0.3">
      <c r="A13" s="78" t="s">
        <v>96</v>
      </c>
      <c r="B13" s="79">
        <v>2</v>
      </c>
      <c r="C13" s="79">
        <v>3</v>
      </c>
      <c r="D13" s="79">
        <v>6</v>
      </c>
      <c r="E13" s="79">
        <v>3</v>
      </c>
      <c r="F13" s="79">
        <v>1</v>
      </c>
      <c r="G13" s="79">
        <v>15</v>
      </c>
      <c r="H13" s="80">
        <f t="shared" si="0"/>
        <v>1575000</v>
      </c>
    </row>
    <row r="14" spans="1:8" x14ac:dyDescent="0.3">
      <c r="A14" s="81" t="s">
        <v>97</v>
      </c>
      <c r="B14" s="79">
        <v>3</v>
      </c>
      <c r="C14" s="79">
        <v>4</v>
      </c>
      <c r="D14" s="79">
        <v>8</v>
      </c>
      <c r="E14" s="79">
        <v>4</v>
      </c>
      <c r="F14" s="79">
        <v>2</v>
      </c>
      <c r="G14" s="79">
        <v>21</v>
      </c>
      <c r="H14" s="80">
        <f t="shared" si="0"/>
        <v>2205000</v>
      </c>
    </row>
    <row r="15" spans="1:8" x14ac:dyDescent="0.3">
      <c r="A15" s="81" t="s">
        <v>98</v>
      </c>
      <c r="B15" s="79">
        <v>2</v>
      </c>
      <c r="C15" s="79">
        <v>3</v>
      </c>
      <c r="D15" s="79">
        <v>6</v>
      </c>
      <c r="E15" s="79">
        <v>3</v>
      </c>
      <c r="F15" s="79">
        <v>1</v>
      </c>
      <c r="G15" s="79">
        <v>15</v>
      </c>
      <c r="H15" s="80">
        <f t="shared" si="0"/>
        <v>1575000</v>
      </c>
    </row>
    <row r="16" spans="1:8" x14ac:dyDescent="0.3">
      <c r="A16" s="78" t="s">
        <v>99</v>
      </c>
      <c r="B16" s="79">
        <v>3</v>
      </c>
      <c r="C16" s="79">
        <v>4</v>
      </c>
      <c r="D16" s="79">
        <v>8</v>
      </c>
      <c r="E16" s="79">
        <v>4</v>
      </c>
      <c r="F16" s="79">
        <v>2</v>
      </c>
      <c r="G16" s="79">
        <v>21</v>
      </c>
      <c r="H16" s="80">
        <f t="shared" si="0"/>
        <v>2205000</v>
      </c>
    </row>
    <row r="17" spans="1:8" x14ac:dyDescent="0.3">
      <c r="A17" s="78" t="s">
        <v>100</v>
      </c>
      <c r="B17" s="79">
        <v>2</v>
      </c>
      <c r="C17" s="79">
        <v>3</v>
      </c>
      <c r="D17" s="79">
        <v>6</v>
      </c>
      <c r="E17" s="79">
        <v>3</v>
      </c>
      <c r="F17" s="79">
        <v>1</v>
      </c>
      <c r="G17" s="79">
        <v>15</v>
      </c>
      <c r="H17" s="80">
        <f t="shared" si="0"/>
        <v>1575000</v>
      </c>
    </row>
    <row r="18" spans="1:8" x14ac:dyDescent="0.3">
      <c r="A18" s="78" t="s">
        <v>101</v>
      </c>
      <c r="B18" s="79">
        <v>2</v>
      </c>
      <c r="C18" s="79">
        <v>2</v>
      </c>
      <c r="D18" s="79">
        <v>5</v>
      </c>
      <c r="E18" s="79">
        <v>2</v>
      </c>
      <c r="F18" s="79">
        <v>1</v>
      </c>
      <c r="G18" s="79">
        <v>12</v>
      </c>
      <c r="H18" s="80">
        <f t="shared" si="0"/>
        <v>1260000</v>
      </c>
    </row>
    <row r="19" spans="1:8" x14ac:dyDescent="0.3">
      <c r="A19" s="81" t="s">
        <v>102</v>
      </c>
      <c r="B19" s="79">
        <v>3</v>
      </c>
      <c r="C19" s="79">
        <v>4</v>
      </c>
      <c r="D19" s="79">
        <v>8</v>
      </c>
      <c r="E19" s="79">
        <v>4</v>
      </c>
      <c r="F19" s="79">
        <v>2</v>
      </c>
      <c r="G19" s="79">
        <v>21</v>
      </c>
      <c r="H19" s="80">
        <f t="shared" si="0"/>
        <v>2205000</v>
      </c>
    </row>
    <row r="20" spans="1:8" x14ac:dyDescent="0.3">
      <c r="G20" s="82" t="s">
        <v>417</v>
      </c>
      <c r="H20" s="83">
        <f>SUM(H2:H19)</f>
        <v>34230000</v>
      </c>
    </row>
    <row r="21" spans="1:8" x14ac:dyDescent="0.3">
      <c r="G21" s="82" t="s">
        <v>418</v>
      </c>
      <c r="H21" s="84">
        <f>H20*0.15</f>
        <v>5134500</v>
      </c>
    </row>
    <row r="22" spans="1:8" x14ac:dyDescent="0.3">
      <c r="A22" s="85"/>
      <c r="B22" s="85"/>
      <c r="C22" s="85"/>
      <c r="H22" s="86"/>
    </row>
    <row r="23" spans="1:8" x14ac:dyDescent="0.3">
      <c r="H23" s="86"/>
    </row>
    <row r="24" spans="1:8" x14ac:dyDescent="0.3">
      <c r="H24" s="86"/>
    </row>
    <row r="25" spans="1:8" x14ac:dyDescent="0.3">
      <c r="H25" s="86"/>
    </row>
    <row r="26" spans="1:8" x14ac:dyDescent="0.3">
      <c r="H26" s="86"/>
    </row>
    <row r="27" spans="1:8" x14ac:dyDescent="0.3">
      <c r="H27" s="86"/>
    </row>
    <row r="28" spans="1:8" x14ac:dyDescent="0.3">
      <c r="H28" s="86"/>
    </row>
    <row r="29" spans="1:8" x14ac:dyDescent="0.3">
      <c r="H29" s="86"/>
    </row>
    <row r="30" spans="1:8" x14ac:dyDescent="0.3">
      <c r="H30" s="86"/>
    </row>
    <row r="31" spans="1:8" x14ac:dyDescent="0.3">
      <c r="H31" s="86"/>
    </row>
    <row r="32" spans="1:8" x14ac:dyDescent="0.3">
      <c r="H32" s="86"/>
    </row>
    <row r="33" spans="8:8" x14ac:dyDescent="0.3">
      <c r="H33" s="86"/>
    </row>
    <row r="34" spans="8:8" x14ac:dyDescent="0.3">
      <c r="H34" s="86"/>
    </row>
    <row r="35" spans="8:8" x14ac:dyDescent="0.3">
      <c r="H35" s="86"/>
    </row>
    <row r="36" spans="8:8" x14ac:dyDescent="0.3">
      <c r="H36" s="86"/>
    </row>
    <row r="37" spans="8:8" x14ac:dyDescent="0.3">
      <c r="H37" s="86"/>
    </row>
    <row r="38" spans="8:8" x14ac:dyDescent="0.3">
      <c r="H38" s="86"/>
    </row>
    <row r="39" spans="8:8" x14ac:dyDescent="0.3">
      <c r="H39" s="86"/>
    </row>
    <row r="40" spans="8:8" x14ac:dyDescent="0.3">
      <c r="H40" s="86"/>
    </row>
    <row r="41" spans="8:8" x14ac:dyDescent="0.3">
      <c r="H41" s="86"/>
    </row>
    <row r="42" spans="8:8" x14ac:dyDescent="0.3">
      <c r="H42" s="86"/>
    </row>
    <row r="43" spans="8:8" x14ac:dyDescent="0.3">
      <c r="H43" s="86"/>
    </row>
    <row r="44" spans="8:8" x14ac:dyDescent="0.3">
      <c r="H44" s="86"/>
    </row>
    <row r="45" spans="8:8" x14ac:dyDescent="0.3">
      <c r="H45" s="86"/>
    </row>
    <row r="46" spans="8:8" x14ac:dyDescent="0.3">
      <c r="H46" s="86"/>
    </row>
    <row r="47" spans="8:8" x14ac:dyDescent="0.3">
      <c r="H47" s="86"/>
    </row>
    <row r="48" spans="8:8" x14ac:dyDescent="0.3">
      <c r="H48" s="86"/>
    </row>
    <row r="49" spans="8:8" x14ac:dyDescent="0.3">
      <c r="H49" s="86"/>
    </row>
    <row r="50" spans="8:8" x14ac:dyDescent="0.3">
      <c r="H50" s="86"/>
    </row>
    <row r="51" spans="8:8" x14ac:dyDescent="0.3">
      <c r="H51" s="86"/>
    </row>
    <row r="52" spans="8:8" x14ac:dyDescent="0.3">
      <c r="H52" s="86"/>
    </row>
    <row r="53" spans="8:8" x14ac:dyDescent="0.3">
      <c r="H53" s="86"/>
    </row>
    <row r="54" spans="8:8" x14ac:dyDescent="0.3">
      <c r="H54" s="86"/>
    </row>
    <row r="55" spans="8:8" x14ac:dyDescent="0.3">
      <c r="H55" s="86"/>
    </row>
    <row r="56" spans="8:8" x14ac:dyDescent="0.3">
      <c r="H56" s="86"/>
    </row>
    <row r="57" spans="8:8" x14ac:dyDescent="0.3">
      <c r="H57" s="86"/>
    </row>
    <row r="58" spans="8:8" x14ac:dyDescent="0.3">
      <c r="H58" s="86"/>
    </row>
    <row r="59" spans="8:8" x14ac:dyDescent="0.3">
      <c r="H59" s="86"/>
    </row>
    <row r="60" spans="8:8" x14ac:dyDescent="0.3">
      <c r="H60" s="86"/>
    </row>
    <row r="61" spans="8:8" x14ac:dyDescent="0.3">
      <c r="H61" s="86"/>
    </row>
    <row r="62" spans="8:8" x14ac:dyDescent="0.3">
      <c r="H62" s="86"/>
    </row>
    <row r="63" spans="8:8" x14ac:dyDescent="0.3">
      <c r="H63" s="86"/>
    </row>
    <row r="64" spans="8:8" x14ac:dyDescent="0.3">
      <c r="H64" s="86"/>
    </row>
    <row r="65" spans="8:8" x14ac:dyDescent="0.3">
      <c r="H65" s="86"/>
    </row>
    <row r="66" spans="8:8" x14ac:dyDescent="0.3">
      <c r="H66" s="86"/>
    </row>
    <row r="67" spans="8:8" x14ac:dyDescent="0.3">
      <c r="H67" s="86"/>
    </row>
    <row r="68" spans="8:8" x14ac:dyDescent="0.3">
      <c r="H68" s="86"/>
    </row>
    <row r="69" spans="8:8" x14ac:dyDescent="0.3">
      <c r="H69" s="86"/>
    </row>
    <row r="70" spans="8:8" x14ac:dyDescent="0.3">
      <c r="H70" s="86"/>
    </row>
    <row r="71" spans="8:8" x14ac:dyDescent="0.3">
      <c r="H71" s="86"/>
    </row>
    <row r="72" spans="8:8" x14ac:dyDescent="0.3">
      <c r="H72" s="86"/>
    </row>
    <row r="73" spans="8:8" x14ac:dyDescent="0.3">
      <c r="H73" s="86"/>
    </row>
    <row r="74" spans="8:8" x14ac:dyDescent="0.3">
      <c r="H74" s="86"/>
    </row>
    <row r="75" spans="8:8" x14ac:dyDescent="0.3">
      <c r="H75" s="86"/>
    </row>
    <row r="76" spans="8:8" x14ac:dyDescent="0.3">
      <c r="H76" s="86"/>
    </row>
    <row r="77" spans="8:8" x14ac:dyDescent="0.3">
      <c r="H77" s="86"/>
    </row>
    <row r="78" spans="8:8" x14ac:dyDescent="0.3">
      <c r="H78" s="86"/>
    </row>
    <row r="79" spans="8:8" x14ac:dyDescent="0.3">
      <c r="H79" s="86"/>
    </row>
    <row r="80" spans="8:8" x14ac:dyDescent="0.3">
      <c r="H80" s="86"/>
    </row>
    <row r="81" spans="8:8" x14ac:dyDescent="0.3">
      <c r="H81" s="86"/>
    </row>
    <row r="82" spans="8:8" x14ac:dyDescent="0.3">
      <c r="H82" s="86"/>
    </row>
    <row r="83" spans="8:8" x14ac:dyDescent="0.3">
      <c r="H83" s="86"/>
    </row>
    <row r="84" spans="8:8" x14ac:dyDescent="0.3">
      <c r="H84" s="86"/>
    </row>
    <row r="85" spans="8:8" x14ac:dyDescent="0.3">
      <c r="H85" s="86"/>
    </row>
    <row r="86" spans="8:8" x14ac:dyDescent="0.3">
      <c r="H86" s="86"/>
    </row>
    <row r="87" spans="8:8" x14ac:dyDescent="0.3">
      <c r="H87" s="86"/>
    </row>
    <row r="88" spans="8:8" x14ac:dyDescent="0.3">
      <c r="H88" s="86"/>
    </row>
    <row r="89" spans="8:8" x14ac:dyDescent="0.3">
      <c r="H89" s="86"/>
    </row>
    <row r="90" spans="8:8" x14ac:dyDescent="0.3">
      <c r="H90" s="86"/>
    </row>
    <row r="91" spans="8:8" x14ac:dyDescent="0.3">
      <c r="H91" s="86"/>
    </row>
    <row r="92" spans="8:8" x14ac:dyDescent="0.3">
      <c r="H92" s="86"/>
    </row>
    <row r="93" spans="8:8" x14ac:dyDescent="0.3">
      <c r="H93" s="86"/>
    </row>
    <row r="94" spans="8:8" x14ac:dyDescent="0.3">
      <c r="H94" s="86"/>
    </row>
    <row r="95" spans="8:8" x14ac:dyDescent="0.3">
      <c r="H95" s="86"/>
    </row>
    <row r="96" spans="8:8" x14ac:dyDescent="0.3">
      <c r="H96" s="86"/>
    </row>
    <row r="97" spans="8:8" x14ac:dyDescent="0.3">
      <c r="H97" s="86"/>
    </row>
    <row r="98" spans="8:8" x14ac:dyDescent="0.3">
      <c r="H98" s="86"/>
    </row>
    <row r="99" spans="8:8" x14ac:dyDescent="0.3">
      <c r="H99" s="86"/>
    </row>
    <row r="100" spans="8:8" x14ac:dyDescent="0.3">
      <c r="H100" s="86"/>
    </row>
    <row r="101" spans="8:8" x14ac:dyDescent="0.3">
      <c r="H101" s="86"/>
    </row>
    <row r="102" spans="8:8" x14ac:dyDescent="0.3">
      <c r="H102" s="86"/>
    </row>
    <row r="103" spans="8:8" x14ac:dyDescent="0.3">
      <c r="H103" s="86"/>
    </row>
    <row r="104" spans="8:8" x14ac:dyDescent="0.3">
      <c r="H104" s="86"/>
    </row>
    <row r="105" spans="8:8" x14ac:dyDescent="0.3">
      <c r="H105" s="86"/>
    </row>
    <row r="106" spans="8:8" x14ac:dyDescent="0.3">
      <c r="H106" s="86"/>
    </row>
    <row r="107" spans="8:8" x14ac:dyDescent="0.3">
      <c r="H107" s="86"/>
    </row>
    <row r="108" spans="8:8" x14ac:dyDescent="0.3">
      <c r="H108" s="86"/>
    </row>
    <row r="109" spans="8:8" x14ac:dyDescent="0.3">
      <c r="H109" s="86"/>
    </row>
    <row r="110" spans="8:8" x14ac:dyDescent="0.3">
      <c r="H110" s="86"/>
    </row>
    <row r="111" spans="8:8" x14ac:dyDescent="0.3">
      <c r="H111" s="86"/>
    </row>
    <row r="112" spans="8:8" x14ac:dyDescent="0.3">
      <c r="H112" s="86"/>
    </row>
    <row r="113" spans="8:8" x14ac:dyDescent="0.3">
      <c r="H113" s="86"/>
    </row>
    <row r="114" spans="8:8" x14ac:dyDescent="0.3">
      <c r="H114" s="86"/>
    </row>
    <row r="115" spans="8:8" x14ac:dyDescent="0.3">
      <c r="H115" s="86"/>
    </row>
    <row r="116" spans="8:8" x14ac:dyDescent="0.3">
      <c r="H116" s="86"/>
    </row>
    <row r="117" spans="8:8" x14ac:dyDescent="0.3">
      <c r="H117" s="86"/>
    </row>
    <row r="118" spans="8:8" x14ac:dyDescent="0.3">
      <c r="H118" s="86"/>
    </row>
    <row r="119" spans="8:8" x14ac:dyDescent="0.3">
      <c r="H119" s="86"/>
    </row>
    <row r="120" spans="8:8" x14ac:dyDescent="0.3">
      <c r="H120" s="86"/>
    </row>
    <row r="121" spans="8:8" x14ac:dyDescent="0.3">
      <c r="H121" s="86"/>
    </row>
    <row r="122" spans="8:8" x14ac:dyDescent="0.3">
      <c r="H122" s="86"/>
    </row>
    <row r="123" spans="8:8" x14ac:dyDescent="0.3">
      <c r="H123" s="86"/>
    </row>
    <row r="124" spans="8:8" x14ac:dyDescent="0.3">
      <c r="H124" s="86"/>
    </row>
    <row r="125" spans="8:8" x14ac:dyDescent="0.3">
      <c r="H125" s="86"/>
    </row>
    <row r="126" spans="8:8" x14ac:dyDescent="0.3">
      <c r="H126" s="86"/>
    </row>
    <row r="127" spans="8:8" x14ac:dyDescent="0.3">
      <c r="H127" s="86"/>
    </row>
    <row r="128" spans="8:8" x14ac:dyDescent="0.3">
      <c r="H128" s="86"/>
    </row>
    <row r="129" spans="8:8" x14ac:dyDescent="0.3">
      <c r="H129" s="86"/>
    </row>
    <row r="130" spans="8:8" x14ac:dyDescent="0.3">
      <c r="H130" s="86"/>
    </row>
    <row r="131" spans="8:8" x14ac:dyDescent="0.3">
      <c r="H131" s="86"/>
    </row>
    <row r="132" spans="8:8" x14ac:dyDescent="0.3">
      <c r="H132" s="86"/>
    </row>
    <row r="133" spans="8:8" x14ac:dyDescent="0.3">
      <c r="H133" s="86"/>
    </row>
    <row r="134" spans="8:8" x14ac:dyDescent="0.3">
      <c r="H134" s="86"/>
    </row>
    <row r="135" spans="8:8" x14ac:dyDescent="0.3">
      <c r="H135" s="86"/>
    </row>
    <row r="136" spans="8:8" x14ac:dyDescent="0.3">
      <c r="H136" s="86"/>
    </row>
    <row r="137" spans="8:8" x14ac:dyDescent="0.3">
      <c r="H137" s="86"/>
    </row>
    <row r="138" spans="8:8" x14ac:dyDescent="0.3">
      <c r="H138" s="86"/>
    </row>
    <row r="139" spans="8:8" x14ac:dyDescent="0.3">
      <c r="H139" s="86"/>
    </row>
    <row r="140" spans="8:8" x14ac:dyDescent="0.3">
      <c r="H140" s="86"/>
    </row>
    <row r="141" spans="8:8" x14ac:dyDescent="0.3">
      <c r="H141" s="86"/>
    </row>
    <row r="142" spans="8:8" x14ac:dyDescent="0.3">
      <c r="H142" s="86"/>
    </row>
    <row r="143" spans="8:8" x14ac:dyDescent="0.3">
      <c r="H143" s="86"/>
    </row>
    <row r="144" spans="8:8" x14ac:dyDescent="0.3">
      <c r="H144" s="86"/>
    </row>
    <row r="145" spans="8:8" x14ac:dyDescent="0.3">
      <c r="H145" s="86"/>
    </row>
    <row r="146" spans="8:8" x14ac:dyDescent="0.3">
      <c r="H146" s="86"/>
    </row>
    <row r="147" spans="8:8" x14ac:dyDescent="0.3">
      <c r="H147" s="86"/>
    </row>
    <row r="148" spans="8:8" x14ac:dyDescent="0.3">
      <c r="H148" s="86"/>
    </row>
    <row r="149" spans="8:8" x14ac:dyDescent="0.3">
      <c r="H149" s="86"/>
    </row>
    <row r="150" spans="8:8" x14ac:dyDescent="0.3">
      <c r="H150" s="86"/>
    </row>
    <row r="151" spans="8:8" x14ac:dyDescent="0.3">
      <c r="H151" s="86"/>
    </row>
    <row r="152" spans="8:8" x14ac:dyDescent="0.3">
      <c r="H152" s="86"/>
    </row>
    <row r="153" spans="8:8" x14ac:dyDescent="0.3">
      <c r="H153" s="86"/>
    </row>
    <row r="154" spans="8:8" x14ac:dyDescent="0.3">
      <c r="H154" s="86"/>
    </row>
    <row r="155" spans="8:8" x14ac:dyDescent="0.3">
      <c r="H155" s="86"/>
    </row>
    <row r="156" spans="8:8" x14ac:dyDescent="0.3">
      <c r="H156" s="86"/>
    </row>
    <row r="157" spans="8:8" x14ac:dyDescent="0.3">
      <c r="H157" s="86"/>
    </row>
    <row r="158" spans="8:8" x14ac:dyDescent="0.3">
      <c r="H158" s="86"/>
    </row>
    <row r="159" spans="8:8" x14ac:dyDescent="0.3">
      <c r="H159" s="86"/>
    </row>
    <row r="160" spans="8:8" x14ac:dyDescent="0.3">
      <c r="H160" s="86"/>
    </row>
    <row r="161" spans="8:8" x14ac:dyDescent="0.3">
      <c r="H161" s="86"/>
    </row>
    <row r="162" spans="8:8" x14ac:dyDescent="0.3">
      <c r="H162" s="86"/>
    </row>
    <row r="163" spans="8:8" x14ac:dyDescent="0.3">
      <c r="H163" s="86"/>
    </row>
    <row r="164" spans="8:8" x14ac:dyDescent="0.3">
      <c r="H164" s="86"/>
    </row>
    <row r="165" spans="8:8" x14ac:dyDescent="0.3">
      <c r="H165" s="86"/>
    </row>
    <row r="166" spans="8:8" x14ac:dyDescent="0.3">
      <c r="H166" s="86"/>
    </row>
    <row r="167" spans="8:8" x14ac:dyDescent="0.3">
      <c r="H167" s="86"/>
    </row>
    <row r="168" spans="8:8" x14ac:dyDescent="0.3">
      <c r="H168" s="86"/>
    </row>
    <row r="169" spans="8:8" x14ac:dyDescent="0.3">
      <c r="H169" s="86"/>
    </row>
    <row r="170" spans="8:8" x14ac:dyDescent="0.3">
      <c r="H170" s="86"/>
    </row>
    <row r="171" spans="8:8" x14ac:dyDescent="0.3">
      <c r="H171" s="86"/>
    </row>
    <row r="172" spans="8:8" x14ac:dyDescent="0.3">
      <c r="H172" s="86"/>
    </row>
    <row r="173" spans="8:8" x14ac:dyDescent="0.3">
      <c r="H173" s="86"/>
    </row>
    <row r="174" spans="8:8" x14ac:dyDescent="0.3">
      <c r="H174" s="86"/>
    </row>
    <row r="175" spans="8:8" x14ac:dyDescent="0.3">
      <c r="H175" s="86"/>
    </row>
    <row r="176" spans="8:8" x14ac:dyDescent="0.3">
      <c r="H176" s="86"/>
    </row>
    <row r="177" spans="8:8" x14ac:dyDescent="0.3">
      <c r="H177" s="86"/>
    </row>
    <row r="178" spans="8:8" x14ac:dyDescent="0.3">
      <c r="H178" s="86"/>
    </row>
    <row r="179" spans="8:8" x14ac:dyDescent="0.3">
      <c r="H179" s="86"/>
    </row>
    <row r="180" spans="8:8" x14ac:dyDescent="0.3">
      <c r="H180" s="86"/>
    </row>
    <row r="181" spans="8:8" x14ac:dyDescent="0.3">
      <c r="H181" s="86"/>
    </row>
    <row r="182" spans="8:8" x14ac:dyDescent="0.3">
      <c r="H182" s="86"/>
    </row>
    <row r="183" spans="8:8" x14ac:dyDescent="0.3">
      <c r="H183" s="86"/>
    </row>
    <row r="184" spans="8:8" x14ac:dyDescent="0.3">
      <c r="H184" s="86"/>
    </row>
    <row r="185" spans="8:8" x14ac:dyDescent="0.3">
      <c r="H185" s="86"/>
    </row>
    <row r="186" spans="8:8" x14ac:dyDescent="0.3">
      <c r="H186" s="86"/>
    </row>
    <row r="187" spans="8:8" x14ac:dyDescent="0.3">
      <c r="H187" s="86"/>
    </row>
    <row r="188" spans="8:8" x14ac:dyDescent="0.3">
      <c r="H188" s="86"/>
    </row>
    <row r="189" spans="8:8" x14ac:dyDescent="0.3">
      <c r="H189" s="86"/>
    </row>
    <row r="190" spans="8:8" x14ac:dyDescent="0.3">
      <c r="H190" s="86"/>
    </row>
    <row r="191" spans="8:8" x14ac:dyDescent="0.3">
      <c r="H191" s="86"/>
    </row>
    <row r="192" spans="8:8" x14ac:dyDescent="0.3">
      <c r="H192" s="86"/>
    </row>
    <row r="193" spans="8:8" x14ac:dyDescent="0.3">
      <c r="H193" s="86"/>
    </row>
    <row r="194" spans="8:8" x14ac:dyDescent="0.3">
      <c r="H194" s="86"/>
    </row>
    <row r="195" spans="8:8" x14ac:dyDescent="0.3">
      <c r="H195" s="86"/>
    </row>
    <row r="196" spans="8:8" x14ac:dyDescent="0.3">
      <c r="H196" s="86"/>
    </row>
    <row r="197" spans="8:8" x14ac:dyDescent="0.3">
      <c r="H197" s="86"/>
    </row>
    <row r="198" spans="8:8" x14ac:dyDescent="0.3">
      <c r="H198" s="86"/>
    </row>
    <row r="199" spans="8:8" x14ac:dyDescent="0.3">
      <c r="H199" s="86"/>
    </row>
    <row r="200" spans="8:8" x14ac:dyDescent="0.3">
      <c r="H200" s="86"/>
    </row>
    <row r="201" spans="8:8" x14ac:dyDescent="0.3">
      <c r="H201" s="86"/>
    </row>
    <row r="202" spans="8:8" x14ac:dyDescent="0.3">
      <c r="H202" s="86"/>
    </row>
    <row r="203" spans="8:8" x14ac:dyDescent="0.3">
      <c r="H203" s="86"/>
    </row>
    <row r="204" spans="8:8" x14ac:dyDescent="0.3">
      <c r="H204" s="86"/>
    </row>
    <row r="205" spans="8:8" x14ac:dyDescent="0.3">
      <c r="H205" s="86"/>
    </row>
    <row r="206" spans="8:8" x14ac:dyDescent="0.3">
      <c r="H206" s="86"/>
    </row>
    <row r="207" spans="8:8" x14ac:dyDescent="0.3">
      <c r="H207" s="86"/>
    </row>
    <row r="208" spans="8:8" x14ac:dyDescent="0.3">
      <c r="H208" s="86"/>
    </row>
    <row r="209" spans="8:8" x14ac:dyDescent="0.3">
      <c r="H209" s="86"/>
    </row>
    <row r="210" spans="8:8" x14ac:dyDescent="0.3">
      <c r="H210" s="86"/>
    </row>
    <row r="211" spans="8:8" x14ac:dyDescent="0.3">
      <c r="H211" s="86"/>
    </row>
    <row r="212" spans="8:8" x14ac:dyDescent="0.3">
      <c r="H212" s="86"/>
    </row>
    <row r="213" spans="8:8" x14ac:dyDescent="0.3">
      <c r="H213" s="86"/>
    </row>
    <row r="214" spans="8:8" x14ac:dyDescent="0.3">
      <c r="H214" s="86"/>
    </row>
    <row r="215" spans="8:8" x14ac:dyDescent="0.3">
      <c r="H215" s="86"/>
    </row>
    <row r="216" spans="8:8" x14ac:dyDescent="0.3">
      <c r="H216" s="86"/>
    </row>
    <row r="217" spans="8:8" x14ac:dyDescent="0.3">
      <c r="H217" s="86"/>
    </row>
    <row r="218" spans="8:8" x14ac:dyDescent="0.3">
      <c r="H218" s="86"/>
    </row>
    <row r="219" spans="8:8" x14ac:dyDescent="0.3">
      <c r="H219" s="86"/>
    </row>
    <row r="220" spans="8:8" x14ac:dyDescent="0.3">
      <c r="H220" s="86"/>
    </row>
    <row r="221" spans="8:8" x14ac:dyDescent="0.3">
      <c r="H221" s="86"/>
    </row>
    <row r="222" spans="8:8" x14ac:dyDescent="0.3">
      <c r="H222" s="86"/>
    </row>
    <row r="223" spans="8:8" x14ac:dyDescent="0.3">
      <c r="H223" s="86"/>
    </row>
    <row r="224" spans="8:8" x14ac:dyDescent="0.3">
      <c r="H224" s="86"/>
    </row>
    <row r="225" spans="8:8" x14ac:dyDescent="0.3">
      <c r="H225" s="86"/>
    </row>
    <row r="226" spans="8:8" x14ac:dyDescent="0.3">
      <c r="H226" s="86"/>
    </row>
    <row r="227" spans="8:8" x14ac:dyDescent="0.3">
      <c r="H227" s="86"/>
    </row>
    <row r="228" spans="8:8" x14ac:dyDescent="0.3">
      <c r="H228" s="86"/>
    </row>
    <row r="229" spans="8:8" x14ac:dyDescent="0.3">
      <c r="H229" s="86"/>
    </row>
    <row r="230" spans="8:8" x14ac:dyDescent="0.3">
      <c r="H230" s="86"/>
    </row>
    <row r="231" spans="8:8" x14ac:dyDescent="0.3">
      <c r="H231" s="86"/>
    </row>
    <row r="232" spans="8:8" x14ac:dyDescent="0.3">
      <c r="H232" s="86"/>
    </row>
    <row r="233" spans="8:8" x14ac:dyDescent="0.3">
      <c r="H233" s="86"/>
    </row>
    <row r="234" spans="8:8" x14ac:dyDescent="0.3">
      <c r="H234" s="86"/>
    </row>
    <row r="235" spans="8:8" x14ac:dyDescent="0.3">
      <c r="H235" s="86"/>
    </row>
    <row r="236" spans="8:8" x14ac:dyDescent="0.3">
      <c r="H236" s="86"/>
    </row>
    <row r="237" spans="8:8" x14ac:dyDescent="0.3">
      <c r="H237" s="86"/>
    </row>
    <row r="238" spans="8:8" x14ac:dyDescent="0.3">
      <c r="H238" s="86"/>
    </row>
    <row r="239" spans="8:8" x14ac:dyDescent="0.3">
      <c r="H239" s="86"/>
    </row>
    <row r="240" spans="8:8" x14ac:dyDescent="0.3">
      <c r="H240" s="86"/>
    </row>
    <row r="241" spans="8:8" x14ac:dyDescent="0.3">
      <c r="H241" s="86"/>
    </row>
    <row r="242" spans="8:8" x14ac:dyDescent="0.3">
      <c r="H242" s="86"/>
    </row>
    <row r="243" spans="8:8" x14ac:dyDescent="0.3">
      <c r="H243" s="86"/>
    </row>
    <row r="244" spans="8:8" x14ac:dyDescent="0.3">
      <c r="H244" s="86"/>
    </row>
    <row r="245" spans="8:8" x14ac:dyDescent="0.3">
      <c r="H245" s="86"/>
    </row>
    <row r="246" spans="8:8" x14ac:dyDescent="0.3">
      <c r="H246" s="86"/>
    </row>
    <row r="247" spans="8:8" x14ac:dyDescent="0.3">
      <c r="H247" s="86"/>
    </row>
    <row r="248" spans="8:8" x14ac:dyDescent="0.3">
      <c r="H248" s="86"/>
    </row>
    <row r="249" spans="8:8" x14ac:dyDescent="0.3">
      <c r="H249" s="86"/>
    </row>
    <row r="250" spans="8:8" x14ac:dyDescent="0.3">
      <c r="H250" s="86"/>
    </row>
    <row r="251" spans="8:8" x14ac:dyDescent="0.3">
      <c r="H251" s="86"/>
    </row>
    <row r="252" spans="8:8" x14ac:dyDescent="0.3">
      <c r="H252" s="86"/>
    </row>
    <row r="253" spans="8:8" x14ac:dyDescent="0.3">
      <c r="H253" s="86"/>
    </row>
    <row r="254" spans="8:8" x14ac:dyDescent="0.3">
      <c r="H254" s="86"/>
    </row>
    <row r="255" spans="8:8" x14ac:dyDescent="0.3">
      <c r="H255" s="86"/>
    </row>
    <row r="256" spans="8:8" x14ac:dyDescent="0.3">
      <c r="H256" s="86"/>
    </row>
    <row r="257" spans="8:8" x14ac:dyDescent="0.3">
      <c r="H257" s="86"/>
    </row>
    <row r="258" spans="8:8" x14ac:dyDescent="0.3">
      <c r="H258" s="86"/>
    </row>
    <row r="259" spans="8:8" x14ac:dyDescent="0.3">
      <c r="H259" s="86"/>
    </row>
    <row r="260" spans="8:8" x14ac:dyDescent="0.3">
      <c r="H260" s="86"/>
    </row>
    <row r="261" spans="8:8" x14ac:dyDescent="0.3">
      <c r="H261" s="86"/>
    </row>
    <row r="262" spans="8:8" x14ac:dyDescent="0.3">
      <c r="H262" s="86"/>
    </row>
    <row r="263" spans="8:8" x14ac:dyDescent="0.3">
      <c r="H263" s="86"/>
    </row>
    <row r="264" spans="8:8" x14ac:dyDescent="0.3">
      <c r="H264" s="86"/>
    </row>
    <row r="265" spans="8:8" x14ac:dyDescent="0.3">
      <c r="H265" s="86"/>
    </row>
    <row r="266" spans="8:8" x14ac:dyDescent="0.3">
      <c r="H266" s="86"/>
    </row>
    <row r="267" spans="8:8" x14ac:dyDescent="0.3">
      <c r="H267" s="86"/>
    </row>
    <row r="268" spans="8:8" x14ac:dyDescent="0.3">
      <c r="H268" s="86"/>
    </row>
    <row r="269" spans="8:8" x14ac:dyDescent="0.3">
      <c r="H269" s="86"/>
    </row>
    <row r="270" spans="8:8" x14ac:dyDescent="0.3">
      <c r="H270" s="86"/>
    </row>
    <row r="271" spans="8:8" x14ac:dyDescent="0.3">
      <c r="H271" s="86"/>
    </row>
    <row r="272" spans="8:8" x14ac:dyDescent="0.3">
      <c r="H272" s="86"/>
    </row>
    <row r="273" spans="8:8" x14ac:dyDescent="0.3">
      <c r="H273" s="86"/>
    </row>
    <row r="274" spans="8:8" x14ac:dyDescent="0.3">
      <c r="H274" s="86"/>
    </row>
    <row r="275" spans="8:8" x14ac:dyDescent="0.3">
      <c r="H275" s="86"/>
    </row>
    <row r="276" spans="8:8" x14ac:dyDescent="0.3">
      <c r="H276" s="86"/>
    </row>
    <row r="277" spans="8:8" x14ac:dyDescent="0.3">
      <c r="H277" s="86"/>
    </row>
    <row r="278" spans="8:8" x14ac:dyDescent="0.3">
      <c r="H278" s="86"/>
    </row>
    <row r="279" spans="8:8" x14ac:dyDescent="0.3">
      <c r="H279" s="86"/>
    </row>
    <row r="280" spans="8:8" x14ac:dyDescent="0.3">
      <c r="H280" s="86"/>
    </row>
    <row r="281" spans="8:8" x14ac:dyDescent="0.3">
      <c r="H281" s="86"/>
    </row>
    <row r="282" spans="8:8" x14ac:dyDescent="0.3">
      <c r="H282" s="86"/>
    </row>
    <row r="283" spans="8:8" x14ac:dyDescent="0.3">
      <c r="H283" s="86"/>
    </row>
    <row r="284" spans="8:8" x14ac:dyDescent="0.3">
      <c r="H284" s="86"/>
    </row>
    <row r="285" spans="8:8" x14ac:dyDescent="0.3">
      <c r="H285" s="86"/>
    </row>
    <row r="286" spans="8:8" x14ac:dyDescent="0.3">
      <c r="H286" s="86"/>
    </row>
    <row r="287" spans="8:8" x14ac:dyDescent="0.3">
      <c r="H287" s="86"/>
    </row>
    <row r="288" spans="8:8" x14ac:dyDescent="0.3">
      <c r="H288" s="86"/>
    </row>
    <row r="289" spans="8:8" x14ac:dyDescent="0.3">
      <c r="H289" s="86"/>
    </row>
    <row r="290" spans="8:8" x14ac:dyDescent="0.3">
      <c r="H290" s="86"/>
    </row>
    <row r="291" spans="8:8" x14ac:dyDescent="0.3">
      <c r="H291" s="86"/>
    </row>
    <row r="292" spans="8:8" x14ac:dyDescent="0.3">
      <c r="H292" s="86"/>
    </row>
    <row r="293" spans="8:8" x14ac:dyDescent="0.3">
      <c r="H293" s="86"/>
    </row>
    <row r="294" spans="8:8" x14ac:dyDescent="0.3">
      <c r="H294" s="86"/>
    </row>
    <row r="295" spans="8:8" x14ac:dyDescent="0.3">
      <c r="H295" s="86"/>
    </row>
    <row r="296" spans="8:8" x14ac:dyDescent="0.3">
      <c r="H296" s="86"/>
    </row>
    <row r="297" spans="8:8" x14ac:dyDescent="0.3">
      <c r="H297" s="86"/>
    </row>
    <row r="298" spans="8:8" x14ac:dyDescent="0.3">
      <c r="H298" s="86"/>
    </row>
    <row r="299" spans="8:8" x14ac:dyDescent="0.3">
      <c r="H299" s="86"/>
    </row>
    <row r="300" spans="8:8" x14ac:dyDescent="0.3">
      <c r="H300" s="86"/>
    </row>
    <row r="301" spans="8:8" x14ac:dyDescent="0.3">
      <c r="H301" s="86"/>
    </row>
    <row r="302" spans="8:8" x14ac:dyDescent="0.3">
      <c r="H302" s="86"/>
    </row>
    <row r="303" spans="8:8" x14ac:dyDescent="0.3">
      <c r="H303" s="86"/>
    </row>
    <row r="304" spans="8:8" x14ac:dyDescent="0.3">
      <c r="H304" s="86"/>
    </row>
    <row r="305" spans="8:8" x14ac:dyDescent="0.3">
      <c r="H305" s="86"/>
    </row>
    <row r="306" spans="8:8" x14ac:dyDescent="0.3">
      <c r="H306" s="86"/>
    </row>
    <row r="307" spans="8:8" x14ac:dyDescent="0.3">
      <c r="H307" s="86"/>
    </row>
    <row r="308" spans="8:8" x14ac:dyDescent="0.3">
      <c r="H308" s="86"/>
    </row>
    <row r="309" spans="8:8" x14ac:dyDescent="0.3">
      <c r="H309" s="86"/>
    </row>
    <row r="310" spans="8:8" x14ac:dyDescent="0.3">
      <c r="H310" s="86"/>
    </row>
    <row r="311" spans="8:8" x14ac:dyDescent="0.3">
      <c r="H311" s="86"/>
    </row>
    <row r="312" spans="8:8" x14ac:dyDescent="0.3">
      <c r="H312" s="86"/>
    </row>
    <row r="313" spans="8:8" x14ac:dyDescent="0.3">
      <c r="H313" s="86"/>
    </row>
    <row r="314" spans="8:8" x14ac:dyDescent="0.3">
      <c r="H314" s="86"/>
    </row>
    <row r="315" spans="8:8" x14ac:dyDescent="0.3">
      <c r="H315" s="86"/>
    </row>
    <row r="316" spans="8:8" x14ac:dyDescent="0.3">
      <c r="H316" s="86"/>
    </row>
    <row r="317" spans="8:8" x14ac:dyDescent="0.3">
      <c r="H317" s="86"/>
    </row>
    <row r="318" spans="8:8" x14ac:dyDescent="0.3">
      <c r="H318" s="86"/>
    </row>
    <row r="319" spans="8:8" x14ac:dyDescent="0.3">
      <c r="H319" s="86"/>
    </row>
    <row r="320" spans="8:8" x14ac:dyDescent="0.3">
      <c r="H320" s="86"/>
    </row>
    <row r="321" spans="8:8" x14ac:dyDescent="0.3">
      <c r="H321" s="86"/>
    </row>
    <row r="322" spans="8:8" x14ac:dyDescent="0.3">
      <c r="H322" s="86"/>
    </row>
    <row r="323" spans="8:8" x14ac:dyDescent="0.3">
      <c r="H323" s="86"/>
    </row>
    <row r="324" spans="8:8" x14ac:dyDescent="0.3">
      <c r="H324" s="86"/>
    </row>
    <row r="325" spans="8:8" x14ac:dyDescent="0.3">
      <c r="H325" s="86"/>
    </row>
    <row r="326" spans="8:8" x14ac:dyDescent="0.3">
      <c r="H326" s="86"/>
    </row>
    <row r="327" spans="8:8" x14ac:dyDescent="0.3">
      <c r="H327" s="86"/>
    </row>
    <row r="328" spans="8:8" x14ac:dyDescent="0.3">
      <c r="H328" s="86"/>
    </row>
    <row r="329" spans="8:8" x14ac:dyDescent="0.3">
      <c r="H329" s="86"/>
    </row>
    <row r="330" spans="8:8" x14ac:dyDescent="0.3">
      <c r="H330" s="86"/>
    </row>
    <row r="331" spans="8:8" x14ac:dyDescent="0.3">
      <c r="H331" s="86"/>
    </row>
    <row r="332" spans="8:8" x14ac:dyDescent="0.3">
      <c r="H332" s="86"/>
    </row>
    <row r="333" spans="8:8" x14ac:dyDescent="0.3">
      <c r="H333" s="86"/>
    </row>
    <row r="334" spans="8:8" x14ac:dyDescent="0.3">
      <c r="H334" s="86"/>
    </row>
    <row r="335" spans="8:8" x14ac:dyDescent="0.3">
      <c r="H335" s="86"/>
    </row>
    <row r="336" spans="8:8" x14ac:dyDescent="0.3">
      <c r="H336" s="86"/>
    </row>
    <row r="337" spans="8:8" x14ac:dyDescent="0.3">
      <c r="H337" s="86"/>
    </row>
    <row r="338" spans="8:8" x14ac:dyDescent="0.3">
      <c r="H338" s="86"/>
    </row>
    <row r="339" spans="8:8" x14ac:dyDescent="0.3">
      <c r="H339" s="86"/>
    </row>
    <row r="340" spans="8:8" x14ac:dyDescent="0.3">
      <c r="H340" s="86"/>
    </row>
    <row r="341" spans="8:8" x14ac:dyDescent="0.3">
      <c r="H341" s="86"/>
    </row>
    <row r="342" spans="8:8" x14ac:dyDescent="0.3">
      <c r="H342" s="86"/>
    </row>
    <row r="343" spans="8:8" x14ac:dyDescent="0.3">
      <c r="H343" s="86"/>
    </row>
    <row r="344" spans="8:8" x14ac:dyDescent="0.3">
      <c r="H344" s="86"/>
    </row>
    <row r="345" spans="8:8" x14ac:dyDescent="0.3">
      <c r="H345" s="86"/>
    </row>
    <row r="346" spans="8:8" x14ac:dyDescent="0.3">
      <c r="H346" s="86"/>
    </row>
    <row r="347" spans="8:8" x14ac:dyDescent="0.3">
      <c r="H347" s="86"/>
    </row>
    <row r="348" spans="8:8" x14ac:dyDescent="0.3">
      <c r="H348" s="86"/>
    </row>
    <row r="349" spans="8:8" x14ac:dyDescent="0.3">
      <c r="H349" s="86"/>
    </row>
    <row r="350" spans="8:8" x14ac:dyDescent="0.3">
      <c r="H350" s="86"/>
    </row>
    <row r="351" spans="8:8" x14ac:dyDescent="0.3">
      <c r="H351" s="86"/>
    </row>
    <row r="352" spans="8:8" x14ac:dyDescent="0.3">
      <c r="H352" s="86"/>
    </row>
    <row r="353" spans="8:8" x14ac:dyDescent="0.3">
      <c r="H353" s="86"/>
    </row>
    <row r="354" spans="8:8" x14ac:dyDescent="0.3">
      <c r="H354" s="86"/>
    </row>
    <row r="355" spans="8:8" x14ac:dyDescent="0.3">
      <c r="H355" s="86"/>
    </row>
    <row r="356" spans="8:8" x14ac:dyDescent="0.3">
      <c r="H356" s="86"/>
    </row>
    <row r="357" spans="8:8" x14ac:dyDescent="0.3">
      <c r="H357" s="86"/>
    </row>
    <row r="358" spans="8:8" x14ac:dyDescent="0.3">
      <c r="H358" s="86"/>
    </row>
    <row r="359" spans="8:8" x14ac:dyDescent="0.3">
      <c r="H359" s="86"/>
    </row>
    <row r="360" spans="8:8" x14ac:dyDescent="0.3">
      <c r="H360" s="86"/>
    </row>
    <row r="361" spans="8:8" x14ac:dyDescent="0.3">
      <c r="H361" s="86"/>
    </row>
    <row r="362" spans="8:8" x14ac:dyDescent="0.3">
      <c r="H362" s="86"/>
    </row>
    <row r="363" spans="8:8" x14ac:dyDescent="0.3">
      <c r="H363" s="86"/>
    </row>
    <row r="364" spans="8:8" x14ac:dyDescent="0.3">
      <c r="H364" s="86"/>
    </row>
    <row r="365" spans="8:8" x14ac:dyDescent="0.3">
      <c r="H365" s="86"/>
    </row>
    <row r="366" spans="8:8" x14ac:dyDescent="0.3">
      <c r="H366" s="86"/>
    </row>
    <row r="367" spans="8:8" x14ac:dyDescent="0.3">
      <c r="H367" s="86"/>
    </row>
    <row r="368" spans="8:8" x14ac:dyDescent="0.3">
      <c r="H368" s="86"/>
    </row>
    <row r="369" spans="8:8" x14ac:dyDescent="0.3">
      <c r="H369" s="86"/>
    </row>
    <row r="370" spans="8:8" x14ac:dyDescent="0.3">
      <c r="H370" s="86"/>
    </row>
    <row r="371" spans="8:8" x14ac:dyDescent="0.3">
      <c r="H371" s="86"/>
    </row>
    <row r="372" spans="8:8" x14ac:dyDescent="0.3">
      <c r="H372" s="86"/>
    </row>
    <row r="373" spans="8:8" x14ac:dyDescent="0.3">
      <c r="H373" s="86"/>
    </row>
    <row r="374" spans="8:8" x14ac:dyDescent="0.3">
      <c r="H374" s="86"/>
    </row>
    <row r="375" spans="8:8" x14ac:dyDescent="0.3">
      <c r="H375" s="86"/>
    </row>
    <row r="376" spans="8:8" x14ac:dyDescent="0.3">
      <c r="H376" s="86"/>
    </row>
    <row r="377" spans="8:8" x14ac:dyDescent="0.3">
      <c r="H377" s="86"/>
    </row>
    <row r="378" spans="8:8" x14ac:dyDescent="0.3">
      <c r="H378" s="86"/>
    </row>
    <row r="379" spans="8:8" x14ac:dyDescent="0.3">
      <c r="H379" s="86"/>
    </row>
    <row r="380" spans="8:8" x14ac:dyDescent="0.3">
      <c r="H380" s="86"/>
    </row>
    <row r="381" spans="8:8" x14ac:dyDescent="0.3">
      <c r="H381" s="86"/>
    </row>
    <row r="382" spans="8:8" x14ac:dyDescent="0.3">
      <c r="H382" s="86"/>
    </row>
    <row r="383" spans="8:8" x14ac:dyDescent="0.3">
      <c r="H383" s="86"/>
    </row>
    <row r="384" spans="8:8" x14ac:dyDescent="0.3">
      <c r="H384" s="86"/>
    </row>
    <row r="385" spans="8:8" x14ac:dyDescent="0.3">
      <c r="H385" s="86"/>
    </row>
    <row r="386" spans="8:8" x14ac:dyDescent="0.3">
      <c r="H386" s="86"/>
    </row>
    <row r="387" spans="8:8" x14ac:dyDescent="0.3">
      <c r="H387" s="86"/>
    </row>
    <row r="388" spans="8:8" x14ac:dyDescent="0.3">
      <c r="H388" s="86"/>
    </row>
    <row r="389" spans="8:8" x14ac:dyDescent="0.3">
      <c r="H389" s="86"/>
    </row>
    <row r="390" spans="8:8" x14ac:dyDescent="0.3">
      <c r="H390" s="86"/>
    </row>
    <row r="391" spans="8:8" x14ac:dyDescent="0.3">
      <c r="H391" s="86"/>
    </row>
    <row r="392" spans="8:8" x14ac:dyDescent="0.3">
      <c r="H392" s="86"/>
    </row>
    <row r="393" spans="8:8" x14ac:dyDescent="0.3">
      <c r="H393" s="86"/>
    </row>
    <row r="394" spans="8:8" x14ac:dyDescent="0.3">
      <c r="H394" s="86"/>
    </row>
    <row r="395" spans="8:8" x14ac:dyDescent="0.3">
      <c r="H395" s="86"/>
    </row>
    <row r="396" spans="8:8" x14ac:dyDescent="0.3">
      <c r="H396" s="86"/>
    </row>
    <row r="397" spans="8:8" x14ac:dyDescent="0.3">
      <c r="H397" s="86"/>
    </row>
    <row r="398" spans="8:8" x14ac:dyDescent="0.3">
      <c r="H398" s="86"/>
    </row>
    <row r="399" spans="8:8" x14ac:dyDescent="0.3">
      <c r="H399" s="86"/>
    </row>
    <row r="400" spans="8:8" x14ac:dyDescent="0.3">
      <c r="H400" s="86"/>
    </row>
    <row r="401" spans="8:8" x14ac:dyDescent="0.3">
      <c r="H401" s="86"/>
    </row>
    <row r="402" spans="8:8" x14ac:dyDescent="0.3">
      <c r="H402" s="86"/>
    </row>
    <row r="403" spans="8:8" x14ac:dyDescent="0.3">
      <c r="H403" s="86"/>
    </row>
    <row r="404" spans="8:8" x14ac:dyDescent="0.3">
      <c r="H404" s="86"/>
    </row>
    <row r="405" spans="8:8" x14ac:dyDescent="0.3">
      <c r="H405" s="86"/>
    </row>
    <row r="406" spans="8:8" x14ac:dyDescent="0.3">
      <c r="H406" s="86"/>
    </row>
    <row r="407" spans="8:8" x14ac:dyDescent="0.3">
      <c r="H407" s="86"/>
    </row>
    <row r="408" spans="8:8" x14ac:dyDescent="0.3">
      <c r="H408" s="86"/>
    </row>
    <row r="409" spans="8:8" x14ac:dyDescent="0.3">
      <c r="H409" s="86"/>
    </row>
    <row r="410" spans="8:8" x14ac:dyDescent="0.3">
      <c r="H410" s="86"/>
    </row>
    <row r="411" spans="8:8" x14ac:dyDescent="0.3">
      <c r="H411" s="86"/>
    </row>
    <row r="412" spans="8:8" x14ac:dyDescent="0.3">
      <c r="H412" s="86"/>
    </row>
    <row r="413" spans="8:8" x14ac:dyDescent="0.3">
      <c r="H413" s="86"/>
    </row>
    <row r="414" spans="8:8" x14ac:dyDescent="0.3">
      <c r="H414" s="86"/>
    </row>
    <row r="415" spans="8:8" x14ac:dyDescent="0.3">
      <c r="H415" s="86"/>
    </row>
    <row r="416" spans="8:8" x14ac:dyDescent="0.3">
      <c r="H416" s="86"/>
    </row>
    <row r="417" spans="8:8" x14ac:dyDescent="0.3">
      <c r="H417" s="86"/>
    </row>
    <row r="418" spans="8:8" x14ac:dyDescent="0.3">
      <c r="H418" s="86"/>
    </row>
    <row r="419" spans="8:8" x14ac:dyDescent="0.3">
      <c r="H419" s="86"/>
    </row>
    <row r="420" spans="8:8" x14ac:dyDescent="0.3">
      <c r="H420" s="86"/>
    </row>
    <row r="421" spans="8:8" x14ac:dyDescent="0.3">
      <c r="H421" s="86"/>
    </row>
    <row r="422" spans="8:8" x14ac:dyDescent="0.3">
      <c r="H422" s="86"/>
    </row>
    <row r="423" spans="8:8" x14ac:dyDescent="0.3">
      <c r="H423" s="86"/>
    </row>
    <row r="424" spans="8:8" x14ac:dyDescent="0.3">
      <c r="H424" s="86"/>
    </row>
    <row r="425" spans="8:8" x14ac:dyDescent="0.3">
      <c r="H425" s="86"/>
    </row>
    <row r="426" spans="8:8" x14ac:dyDescent="0.3">
      <c r="H426" s="86"/>
    </row>
    <row r="427" spans="8:8" x14ac:dyDescent="0.3">
      <c r="H427" s="86"/>
    </row>
    <row r="428" spans="8:8" x14ac:dyDescent="0.3">
      <c r="H428" s="86"/>
    </row>
    <row r="429" spans="8:8" x14ac:dyDescent="0.3">
      <c r="H429" s="86"/>
    </row>
    <row r="430" spans="8:8" x14ac:dyDescent="0.3">
      <c r="H430" s="86"/>
    </row>
    <row r="431" spans="8:8" x14ac:dyDescent="0.3">
      <c r="H431" s="86"/>
    </row>
    <row r="432" spans="8:8" x14ac:dyDescent="0.3">
      <c r="H432" s="86"/>
    </row>
    <row r="433" spans="8:8" x14ac:dyDescent="0.3">
      <c r="H433" s="86"/>
    </row>
    <row r="434" spans="8:8" x14ac:dyDescent="0.3">
      <c r="H434" s="86"/>
    </row>
    <row r="435" spans="8:8" x14ac:dyDescent="0.3">
      <c r="H435" s="86"/>
    </row>
    <row r="436" spans="8:8" x14ac:dyDescent="0.3">
      <c r="H436" s="86"/>
    </row>
    <row r="437" spans="8:8" x14ac:dyDescent="0.3">
      <c r="H437" s="86"/>
    </row>
    <row r="438" spans="8:8" x14ac:dyDescent="0.3">
      <c r="H438" s="86"/>
    </row>
    <row r="439" spans="8:8" x14ac:dyDescent="0.3">
      <c r="H439" s="86"/>
    </row>
    <row r="440" spans="8:8" x14ac:dyDescent="0.3">
      <c r="H440" s="86"/>
    </row>
    <row r="441" spans="8:8" x14ac:dyDescent="0.3">
      <c r="H441" s="86"/>
    </row>
    <row r="442" spans="8:8" x14ac:dyDescent="0.3">
      <c r="H442" s="86"/>
    </row>
    <row r="443" spans="8:8" x14ac:dyDescent="0.3">
      <c r="H443" s="86"/>
    </row>
    <row r="444" spans="8:8" x14ac:dyDescent="0.3">
      <c r="H444" s="86"/>
    </row>
    <row r="445" spans="8:8" x14ac:dyDescent="0.3">
      <c r="H445" s="86"/>
    </row>
    <row r="446" spans="8:8" x14ac:dyDescent="0.3">
      <c r="H446" s="86"/>
    </row>
    <row r="447" spans="8:8" x14ac:dyDescent="0.3">
      <c r="H447" s="86"/>
    </row>
    <row r="448" spans="8:8" x14ac:dyDescent="0.3">
      <c r="H448" s="86"/>
    </row>
    <row r="449" spans="8:8" x14ac:dyDescent="0.3">
      <c r="H449" s="86"/>
    </row>
    <row r="450" spans="8:8" x14ac:dyDescent="0.3">
      <c r="H450" s="86"/>
    </row>
    <row r="451" spans="8:8" x14ac:dyDescent="0.3">
      <c r="H451" s="86"/>
    </row>
    <row r="452" spans="8:8" x14ac:dyDescent="0.3">
      <c r="H452" s="86"/>
    </row>
    <row r="453" spans="8:8" x14ac:dyDescent="0.3">
      <c r="H453" s="86"/>
    </row>
    <row r="454" spans="8:8" x14ac:dyDescent="0.3">
      <c r="H454" s="86"/>
    </row>
    <row r="455" spans="8:8" x14ac:dyDescent="0.3">
      <c r="H455" s="86"/>
    </row>
    <row r="456" spans="8:8" x14ac:dyDescent="0.3">
      <c r="H456" s="86"/>
    </row>
    <row r="457" spans="8:8" x14ac:dyDescent="0.3">
      <c r="H457" s="86"/>
    </row>
    <row r="458" spans="8:8" x14ac:dyDescent="0.3">
      <c r="H458" s="86"/>
    </row>
    <row r="459" spans="8:8" x14ac:dyDescent="0.3">
      <c r="H459" s="86"/>
    </row>
    <row r="460" spans="8:8" x14ac:dyDescent="0.3">
      <c r="H460" s="86"/>
    </row>
    <row r="461" spans="8:8" x14ac:dyDescent="0.3">
      <c r="H461" s="86"/>
    </row>
    <row r="462" spans="8:8" x14ac:dyDescent="0.3">
      <c r="H462" s="86"/>
    </row>
    <row r="463" spans="8:8" x14ac:dyDescent="0.3">
      <c r="H463" s="86"/>
    </row>
    <row r="464" spans="8:8" x14ac:dyDescent="0.3">
      <c r="H464" s="86"/>
    </row>
    <row r="465" spans="8:8" x14ac:dyDescent="0.3">
      <c r="H465" s="86"/>
    </row>
    <row r="466" spans="8:8" x14ac:dyDescent="0.3">
      <c r="H466" s="86"/>
    </row>
    <row r="467" spans="8:8" x14ac:dyDescent="0.3">
      <c r="H467" s="86"/>
    </row>
    <row r="468" spans="8:8" x14ac:dyDescent="0.3">
      <c r="H468" s="86"/>
    </row>
    <row r="469" spans="8:8" x14ac:dyDescent="0.3">
      <c r="H469" s="86"/>
    </row>
    <row r="470" spans="8:8" x14ac:dyDescent="0.3">
      <c r="H470" s="86"/>
    </row>
    <row r="471" spans="8:8" x14ac:dyDescent="0.3">
      <c r="H471" s="86"/>
    </row>
    <row r="472" spans="8:8" x14ac:dyDescent="0.3">
      <c r="H472" s="86"/>
    </row>
    <row r="473" spans="8:8" x14ac:dyDescent="0.3">
      <c r="H473" s="86"/>
    </row>
    <row r="474" spans="8:8" x14ac:dyDescent="0.3">
      <c r="H474" s="86"/>
    </row>
    <row r="475" spans="8:8" x14ac:dyDescent="0.3">
      <c r="H475" s="86"/>
    </row>
    <row r="476" spans="8:8" x14ac:dyDescent="0.3">
      <c r="H476" s="86"/>
    </row>
    <row r="477" spans="8:8" x14ac:dyDescent="0.3">
      <c r="H477" s="86"/>
    </row>
    <row r="478" spans="8:8" x14ac:dyDescent="0.3">
      <c r="H478" s="86"/>
    </row>
    <row r="479" spans="8:8" x14ac:dyDescent="0.3">
      <c r="H479" s="86"/>
    </row>
    <row r="480" spans="8:8" x14ac:dyDescent="0.3">
      <c r="H480" s="86"/>
    </row>
    <row r="481" spans="8:8" x14ac:dyDescent="0.3">
      <c r="H481" s="86"/>
    </row>
    <row r="482" spans="8:8" x14ac:dyDescent="0.3">
      <c r="H482" s="86"/>
    </row>
    <row r="483" spans="8:8" x14ac:dyDescent="0.3">
      <c r="H483" s="86"/>
    </row>
    <row r="484" spans="8:8" x14ac:dyDescent="0.3">
      <c r="H484" s="86"/>
    </row>
    <row r="485" spans="8:8" x14ac:dyDescent="0.3">
      <c r="H485" s="86"/>
    </row>
    <row r="486" spans="8:8" x14ac:dyDescent="0.3">
      <c r="H486" s="86"/>
    </row>
    <row r="487" spans="8:8" x14ac:dyDescent="0.3">
      <c r="H487" s="86"/>
    </row>
    <row r="488" spans="8:8" x14ac:dyDescent="0.3">
      <c r="H488" s="86"/>
    </row>
    <row r="489" spans="8:8" x14ac:dyDescent="0.3">
      <c r="H489" s="86"/>
    </row>
    <row r="490" spans="8:8" x14ac:dyDescent="0.3">
      <c r="H490" s="86"/>
    </row>
    <row r="491" spans="8:8" x14ac:dyDescent="0.3">
      <c r="H491" s="86"/>
    </row>
    <row r="492" spans="8:8" x14ac:dyDescent="0.3">
      <c r="H492" s="86"/>
    </row>
    <row r="493" spans="8:8" x14ac:dyDescent="0.3">
      <c r="H493" s="86"/>
    </row>
    <row r="494" spans="8:8" x14ac:dyDescent="0.3">
      <c r="H494" s="86"/>
    </row>
    <row r="495" spans="8:8" x14ac:dyDescent="0.3">
      <c r="H495" s="86"/>
    </row>
    <row r="496" spans="8:8" x14ac:dyDescent="0.3">
      <c r="H496" s="86"/>
    </row>
    <row r="497" spans="8:8" x14ac:dyDescent="0.3">
      <c r="H497" s="86"/>
    </row>
    <row r="498" spans="8:8" x14ac:dyDescent="0.3">
      <c r="H498" s="86"/>
    </row>
    <row r="499" spans="8:8" x14ac:dyDescent="0.3">
      <c r="H499" s="86"/>
    </row>
    <row r="500" spans="8:8" x14ac:dyDescent="0.3">
      <c r="H500" s="86"/>
    </row>
    <row r="501" spans="8:8" x14ac:dyDescent="0.3">
      <c r="H501" s="86"/>
    </row>
    <row r="502" spans="8:8" x14ac:dyDescent="0.3">
      <c r="H502" s="86"/>
    </row>
    <row r="503" spans="8:8" x14ac:dyDescent="0.3">
      <c r="H503" s="86"/>
    </row>
    <row r="504" spans="8:8" x14ac:dyDescent="0.3">
      <c r="H504" s="86"/>
    </row>
    <row r="505" spans="8:8" x14ac:dyDescent="0.3">
      <c r="H505" s="86"/>
    </row>
    <row r="506" spans="8:8" x14ac:dyDescent="0.3">
      <c r="H506" s="86"/>
    </row>
    <row r="507" spans="8:8" x14ac:dyDescent="0.3">
      <c r="H507" s="86"/>
    </row>
    <row r="508" spans="8:8" x14ac:dyDescent="0.3">
      <c r="H508" s="86"/>
    </row>
    <row r="509" spans="8:8" x14ac:dyDescent="0.3">
      <c r="H509" s="86"/>
    </row>
    <row r="510" spans="8:8" x14ac:dyDescent="0.3">
      <c r="H510" s="86"/>
    </row>
    <row r="511" spans="8:8" x14ac:dyDescent="0.3">
      <c r="H511" s="86"/>
    </row>
    <row r="512" spans="8:8" x14ac:dyDescent="0.3">
      <c r="H512" s="86"/>
    </row>
    <row r="513" spans="8:8" x14ac:dyDescent="0.3">
      <c r="H513" s="86"/>
    </row>
    <row r="514" spans="8:8" x14ac:dyDescent="0.3">
      <c r="H514" s="86"/>
    </row>
    <row r="515" spans="8:8" x14ac:dyDescent="0.3">
      <c r="H515" s="86"/>
    </row>
    <row r="516" spans="8:8" x14ac:dyDescent="0.3">
      <c r="H516" s="86"/>
    </row>
    <row r="517" spans="8:8" x14ac:dyDescent="0.3">
      <c r="H517" s="86"/>
    </row>
    <row r="518" spans="8:8" x14ac:dyDescent="0.3">
      <c r="H518" s="86"/>
    </row>
    <row r="519" spans="8:8" x14ac:dyDescent="0.3">
      <c r="H519" s="86"/>
    </row>
    <row r="520" spans="8:8" x14ac:dyDescent="0.3">
      <c r="H520" s="86"/>
    </row>
    <row r="521" spans="8:8" x14ac:dyDescent="0.3">
      <c r="H521" s="86"/>
    </row>
    <row r="522" spans="8:8" x14ac:dyDescent="0.3">
      <c r="H522" s="86"/>
    </row>
    <row r="523" spans="8:8" x14ac:dyDescent="0.3">
      <c r="H523" s="86"/>
    </row>
    <row r="524" spans="8:8" x14ac:dyDescent="0.3">
      <c r="H524" s="86"/>
    </row>
    <row r="525" spans="8:8" x14ac:dyDescent="0.3">
      <c r="H525" s="86"/>
    </row>
    <row r="526" spans="8:8" x14ac:dyDescent="0.3">
      <c r="H526" s="86"/>
    </row>
    <row r="527" spans="8:8" x14ac:dyDescent="0.3">
      <c r="H527" s="86"/>
    </row>
    <row r="528" spans="8:8" x14ac:dyDescent="0.3">
      <c r="H528" s="86"/>
    </row>
    <row r="529" spans="8:8" x14ac:dyDescent="0.3">
      <c r="H529" s="86"/>
    </row>
    <row r="530" spans="8:8" x14ac:dyDescent="0.3">
      <c r="H530" s="86"/>
    </row>
    <row r="531" spans="8:8" x14ac:dyDescent="0.3">
      <c r="H531" s="86"/>
    </row>
    <row r="532" spans="8:8" x14ac:dyDescent="0.3">
      <c r="H532" s="86"/>
    </row>
    <row r="533" spans="8:8" x14ac:dyDescent="0.3">
      <c r="H533" s="86"/>
    </row>
    <row r="534" spans="8:8" x14ac:dyDescent="0.3">
      <c r="H534" s="86"/>
    </row>
    <row r="535" spans="8:8" x14ac:dyDescent="0.3">
      <c r="H535" s="86"/>
    </row>
    <row r="536" spans="8:8" x14ac:dyDescent="0.3">
      <c r="H536" s="86"/>
    </row>
    <row r="537" spans="8:8" x14ac:dyDescent="0.3">
      <c r="H537" s="86"/>
    </row>
    <row r="538" spans="8:8" x14ac:dyDescent="0.3">
      <c r="H538" s="86"/>
    </row>
    <row r="539" spans="8:8" x14ac:dyDescent="0.3">
      <c r="H539" s="86"/>
    </row>
    <row r="540" spans="8:8" x14ac:dyDescent="0.3">
      <c r="H540" s="86"/>
    </row>
    <row r="541" spans="8:8" x14ac:dyDescent="0.3">
      <c r="H541" s="86"/>
    </row>
    <row r="542" spans="8:8" x14ac:dyDescent="0.3">
      <c r="H542" s="86"/>
    </row>
    <row r="543" spans="8:8" x14ac:dyDescent="0.3">
      <c r="H543" s="86"/>
    </row>
    <row r="544" spans="8:8" x14ac:dyDescent="0.3">
      <c r="H544" s="86"/>
    </row>
    <row r="545" spans="8:8" x14ac:dyDescent="0.3">
      <c r="H545" s="86"/>
    </row>
    <row r="546" spans="8:8" x14ac:dyDescent="0.3">
      <c r="H546" s="86"/>
    </row>
    <row r="547" spans="8:8" x14ac:dyDescent="0.3">
      <c r="H547" s="86"/>
    </row>
    <row r="548" spans="8:8" x14ac:dyDescent="0.3">
      <c r="H548" s="86"/>
    </row>
    <row r="549" spans="8:8" x14ac:dyDescent="0.3">
      <c r="H549" s="86"/>
    </row>
    <row r="550" spans="8:8" x14ac:dyDescent="0.3">
      <c r="H550" s="86"/>
    </row>
    <row r="551" spans="8:8" x14ac:dyDescent="0.3">
      <c r="H551" s="86"/>
    </row>
    <row r="552" spans="8:8" x14ac:dyDescent="0.3">
      <c r="H552" s="86"/>
    </row>
    <row r="553" spans="8:8" x14ac:dyDescent="0.3">
      <c r="H553" s="86"/>
    </row>
    <row r="554" spans="8:8" x14ac:dyDescent="0.3">
      <c r="H554" s="86"/>
    </row>
    <row r="555" spans="8:8" x14ac:dyDescent="0.3">
      <c r="H555" s="86"/>
    </row>
    <row r="556" spans="8:8" x14ac:dyDescent="0.3">
      <c r="H556" s="86"/>
    </row>
    <row r="557" spans="8:8" x14ac:dyDescent="0.3">
      <c r="H557" s="86"/>
    </row>
    <row r="558" spans="8:8" x14ac:dyDescent="0.3">
      <c r="H558" s="86"/>
    </row>
    <row r="559" spans="8:8" x14ac:dyDescent="0.3">
      <c r="H559" s="86"/>
    </row>
    <row r="560" spans="8:8" x14ac:dyDescent="0.3">
      <c r="H560" s="86"/>
    </row>
    <row r="561" spans="8:8" x14ac:dyDescent="0.3">
      <c r="H561" s="86"/>
    </row>
    <row r="562" spans="8:8" x14ac:dyDescent="0.3">
      <c r="H562" s="86"/>
    </row>
    <row r="563" spans="8:8" x14ac:dyDescent="0.3">
      <c r="H563" s="86"/>
    </row>
    <row r="564" spans="8:8" x14ac:dyDescent="0.3">
      <c r="H564" s="86"/>
    </row>
    <row r="565" spans="8:8" x14ac:dyDescent="0.3">
      <c r="H565" s="86"/>
    </row>
    <row r="566" spans="8:8" x14ac:dyDescent="0.3">
      <c r="H566" s="86"/>
    </row>
    <row r="567" spans="8:8" x14ac:dyDescent="0.3">
      <c r="H567" s="86"/>
    </row>
    <row r="568" spans="8:8" x14ac:dyDescent="0.3">
      <c r="H568" s="86"/>
    </row>
    <row r="569" spans="8:8" x14ac:dyDescent="0.3">
      <c r="H569" s="86"/>
    </row>
    <row r="570" spans="8:8" x14ac:dyDescent="0.3">
      <c r="H570" s="86"/>
    </row>
    <row r="571" spans="8:8" x14ac:dyDescent="0.3">
      <c r="H571" s="86"/>
    </row>
    <row r="572" spans="8:8" x14ac:dyDescent="0.3">
      <c r="H572" s="86"/>
    </row>
    <row r="573" spans="8:8" x14ac:dyDescent="0.3">
      <c r="H573" s="86"/>
    </row>
    <row r="574" spans="8:8" x14ac:dyDescent="0.3">
      <c r="H574" s="86"/>
    </row>
    <row r="575" spans="8:8" x14ac:dyDescent="0.3">
      <c r="H575" s="86"/>
    </row>
    <row r="576" spans="8:8" x14ac:dyDescent="0.3">
      <c r="H576" s="86"/>
    </row>
    <row r="577" spans="8:8" x14ac:dyDescent="0.3">
      <c r="H577" s="86"/>
    </row>
    <row r="578" spans="8:8" x14ac:dyDescent="0.3">
      <c r="H578" s="86"/>
    </row>
    <row r="579" spans="8:8" x14ac:dyDescent="0.3">
      <c r="H579" s="86"/>
    </row>
    <row r="580" spans="8:8" x14ac:dyDescent="0.3">
      <c r="H580" s="86"/>
    </row>
    <row r="581" spans="8:8" x14ac:dyDescent="0.3">
      <c r="H581" s="86"/>
    </row>
    <row r="582" spans="8:8" x14ac:dyDescent="0.3">
      <c r="H582" s="86"/>
    </row>
    <row r="583" spans="8:8" x14ac:dyDescent="0.3">
      <c r="H583" s="86"/>
    </row>
    <row r="584" spans="8:8" x14ac:dyDescent="0.3">
      <c r="H584" s="86"/>
    </row>
    <row r="585" spans="8:8" x14ac:dyDescent="0.3">
      <c r="H585" s="86"/>
    </row>
    <row r="586" spans="8:8" x14ac:dyDescent="0.3">
      <c r="H586" s="86"/>
    </row>
    <row r="587" spans="8:8" x14ac:dyDescent="0.3">
      <c r="H587" s="86"/>
    </row>
    <row r="588" spans="8:8" x14ac:dyDescent="0.3">
      <c r="H588" s="86"/>
    </row>
    <row r="589" spans="8:8" x14ac:dyDescent="0.3">
      <c r="H589" s="86"/>
    </row>
    <row r="590" spans="8:8" x14ac:dyDescent="0.3">
      <c r="H590" s="86"/>
    </row>
    <row r="591" spans="8:8" x14ac:dyDescent="0.3">
      <c r="H591" s="86"/>
    </row>
    <row r="592" spans="8:8" x14ac:dyDescent="0.3">
      <c r="H592" s="86"/>
    </row>
    <row r="593" spans="8:8" x14ac:dyDescent="0.3">
      <c r="H593" s="86"/>
    </row>
    <row r="594" spans="8:8" x14ac:dyDescent="0.3">
      <c r="H594" s="86"/>
    </row>
    <row r="595" spans="8:8" x14ac:dyDescent="0.3">
      <c r="H595" s="86"/>
    </row>
    <row r="596" spans="8:8" x14ac:dyDescent="0.3">
      <c r="H596" s="86"/>
    </row>
    <row r="597" spans="8:8" x14ac:dyDescent="0.3">
      <c r="H597" s="86"/>
    </row>
    <row r="598" spans="8:8" x14ac:dyDescent="0.3">
      <c r="H598" s="86"/>
    </row>
    <row r="599" spans="8:8" x14ac:dyDescent="0.3">
      <c r="H599" s="86"/>
    </row>
    <row r="600" spans="8:8" x14ac:dyDescent="0.3">
      <c r="H600" s="86"/>
    </row>
    <row r="601" spans="8:8" x14ac:dyDescent="0.3">
      <c r="H601" s="86"/>
    </row>
    <row r="602" spans="8:8" x14ac:dyDescent="0.3">
      <c r="H602" s="86"/>
    </row>
    <row r="603" spans="8:8" x14ac:dyDescent="0.3">
      <c r="H603" s="86"/>
    </row>
    <row r="604" spans="8:8" x14ac:dyDescent="0.3">
      <c r="H604" s="86"/>
    </row>
    <row r="605" spans="8:8" x14ac:dyDescent="0.3">
      <c r="H605" s="86"/>
    </row>
    <row r="606" spans="8:8" x14ac:dyDescent="0.3">
      <c r="H606" s="86"/>
    </row>
    <row r="607" spans="8:8" x14ac:dyDescent="0.3">
      <c r="H607" s="86"/>
    </row>
    <row r="608" spans="8:8" x14ac:dyDescent="0.3">
      <c r="H608" s="86"/>
    </row>
    <row r="609" spans="8:8" x14ac:dyDescent="0.3">
      <c r="H609" s="86"/>
    </row>
    <row r="610" spans="8:8" x14ac:dyDescent="0.3">
      <c r="H610" s="86"/>
    </row>
    <row r="611" spans="8:8" x14ac:dyDescent="0.3">
      <c r="H611" s="86"/>
    </row>
    <row r="612" spans="8:8" x14ac:dyDescent="0.3">
      <c r="H612" s="86"/>
    </row>
    <row r="613" spans="8:8" x14ac:dyDescent="0.3">
      <c r="H613" s="86"/>
    </row>
    <row r="614" spans="8:8" x14ac:dyDescent="0.3">
      <c r="H614" s="86"/>
    </row>
    <row r="615" spans="8:8" x14ac:dyDescent="0.3">
      <c r="H615" s="86"/>
    </row>
    <row r="616" spans="8:8" x14ac:dyDescent="0.3">
      <c r="H616" s="86"/>
    </row>
    <row r="617" spans="8:8" x14ac:dyDescent="0.3">
      <c r="H617" s="86"/>
    </row>
    <row r="618" spans="8:8" x14ac:dyDescent="0.3">
      <c r="H618" s="86"/>
    </row>
    <row r="619" spans="8:8" x14ac:dyDescent="0.3">
      <c r="H619" s="86"/>
    </row>
    <row r="620" spans="8:8" x14ac:dyDescent="0.3">
      <c r="H620" s="86"/>
    </row>
    <row r="621" spans="8:8" x14ac:dyDescent="0.3">
      <c r="H621" s="86"/>
    </row>
    <row r="622" spans="8:8" x14ac:dyDescent="0.3">
      <c r="H622" s="86"/>
    </row>
    <row r="623" spans="8:8" x14ac:dyDescent="0.3">
      <c r="H623" s="86"/>
    </row>
    <row r="624" spans="8:8" x14ac:dyDescent="0.3">
      <c r="H624" s="86"/>
    </row>
    <row r="625" spans="8:8" x14ac:dyDescent="0.3">
      <c r="H625" s="86"/>
    </row>
    <row r="626" spans="8:8" x14ac:dyDescent="0.3">
      <c r="H626" s="86"/>
    </row>
    <row r="627" spans="8:8" x14ac:dyDescent="0.3">
      <c r="H627" s="86"/>
    </row>
    <row r="628" spans="8:8" x14ac:dyDescent="0.3">
      <c r="H628" s="86"/>
    </row>
    <row r="629" spans="8:8" x14ac:dyDescent="0.3">
      <c r="H629" s="86"/>
    </row>
    <row r="630" spans="8:8" x14ac:dyDescent="0.3">
      <c r="H630" s="86"/>
    </row>
    <row r="631" spans="8:8" x14ac:dyDescent="0.3">
      <c r="H631" s="86"/>
    </row>
    <row r="632" spans="8:8" x14ac:dyDescent="0.3">
      <c r="H632" s="86"/>
    </row>
    <row r="633" spans="8:8" x14ac:dyDescent="0.3">
      <c r="H633" s="86"/>
    </row>
    <row r="634" spans="8:8" x14ac:dyDescent="0.3">
      <c r="H634" s="86"/>
    </row>
    <row r="635" spans="8:8" x14ac:dyDescent="0.3">
      <c r="H635" s="86"/>
    </row>
    <row r="636" spans="8:8" x14ac:dyDescent="0.3">
      <c r="H636" s="86"/>
    </row>
    <row r="637" spans="8:8" x14ac:dyDescent="0.3">
      <c r="H637" s="86"/>
    </row>
    <row r="638" spans="8:8" x14ac:dyDescent="0.3">
      <c r="H638" s="86"/>
    </row>
    <row r="639" spans="8:8" x14ac:dyDescent="0.3">
      <c r="H639" s="86"/>
    </row>
    <row r="640" spans="8:8" x14ac:dyDescent="0.3">
      <c r="H640" s="86"/>
    </row>
    <row r="641" spans="8:8" x14ac:dyDescent="0.3">
      <c r="H641" s="86"/>
    </row>
    <row r="642" spans="8:8" x14ac:dyDescent="0.3">
      <c r="H642" s="86"/>
    </row>
    <row r="643" spans="8:8" x14ac:dyDescent="0.3">
      <c r="H643" s="86"/>
    </row>
    <row r="644" spans="8:8" x14ac:dyDescent="0.3">
      <c r="H644" s="86"/>
    </row>
    <row r="645" spans="8:8" x14ac:dyDescent="0.3">
      <c r="H645" s="86"/>
    </row>
    <row r="646" spans="8:8" x14ac:dyDescent="0.3">
      <c r="H646" s="86"/>
    </row>
    <row r="647" spans="8:8" x14ac:dyDescent="0.3">
      <c r="H647" s="86"/>
    </row>
    <row r="648" spans="8:8" x14ac:dyDescent="0.3">
      <c r="H648" s="86"/>
    </row>
    <row r="649" spans="8:8" x14ac:dyDescent="0.3">
      <c r="H649" s="86"/>
    </row>
    <row r="650" spans="8:8" x14ac:dyDescent="0.3">
      <c r="H650" s="86"/>
    </row>
    <row r="651" spans="8:8" x14ac:dyDescent="0.3">
      <c r="H651" s="86"/>
    </row>
    <row r="652" spans="8:8" x14ac:dyDescent="0.3">
      <c r="H652" s="86"/>
    </row>
    <row r="653" spans="8:8" x14ac:dyDescent="0.3">
      <c r="H653" s="86"/>
    </row>
    <row r="654" spans="8:8" x14ac:dyDescent="0.3">
      <c r="H654" s="86"/>
    </row>
    <row r="655" spans="8:8" x14ac:dyDescent="0.3">
      <c r="H655" s="86"/>
    </row>
    <row r="656" spans="8:8" x14ac:dyDescent="0.3">
      <c r="H656" s="86"/>
    </row>
    <row r="657" spans="8:8" x14ac:dyDescent="0.3">
      <c r="H657" s="86"/>
    </row>
    <row r="658" spans="8:8" x14ac:dyDescent="0.3">
      <c r="H658" s="86"/>
    </row>
    <row r="659" spans="8:8" x14ac:dyDescent="0.3">
      <c r="H659" s="86"/>
    </row>
    <row r="660" spans="8:8" x14ac:dyDescent="0.3">
      <c r="H660" s="86"/>
    </row>
    <row r="661" spans="8:8" x14ac:dyDescent="0.3">
      <c r="H661" s="86"/>
    </row>
    <row r="662" spans="8:8" x14ac:dyDescent="0.3">
      <c r="H662" s="86"/>
    </row>
    <row r="663" spans="8:8" x14ac:dyDescent="0.3">
      <c r="H663" s="86"/>
    </row>
    <row r="664" spans="8:8" x14ac:dyDescent="0.3">
      <c r="H664" s="86"/>
    </row>
    <row r="665" spans="8:8" x14ac:dyDescent="0.3">
      <c r="H665" s="86"/>
    </row>
    <row r="666" spans="8:8" x14ac:dyDescent="0.3">
      <c r="H666" s="86"/>
    </row>
    <row r="667" spans="8:8" x14ac:dyDescent="0.3">
      <c r="H667" s="86"/>
    </row>
    <row r="668" spans="8:8" x14ac:dyDescent="0.3">
      <c r="H668" s="86"/>
    </row>
    <row r="669" spans="8:8" x14ac:dyDescent="0.3">
      <c r="H669" s="86"/>
    </row>
    <row r="670" spans="8:8" x14ac:dyDescent="0.3">
      <c r="H670" s="86"/>
    </row>
    <row r="671" spans="8:8" x14ac:dyDescent="0.3">
      <c r="H671" s="86"/>
    </row>
    <row r="672" spans="8:8" x14ac:dyDescent="0.3">
      <c r="H672" s="86"/>
    </row>
    <row r="673" spans="8:8" x14ac:dyDescent="0.3">
      <c r="H673" s="86"/>
    </row>
    <row r="674" spans="8:8" x14ac:dyDescent="0.3">
      <c r="H674" s="86"/>
    </row>
    <row r="675" spans="8:8" x14ac:dyDescent="0.3">
      <c r="H675" s="86"/>
    </row>
    <row r="676" spans="8:8" x14ac:dyDescent="0.3">
      <c r="H676" s="86"/>
    </row>
    <row r="677" spans="8:8" x14ac:dyDescent="0.3">
      <c r="H677" s="86"/>
    </row>
    <row r="678" spans="8:8" x14ac:dyDescent="0.3">
      <c r="H678" s="86"/>
    </row>
    <row r="679" spans="8:8" x14ac:dyDescent="0.3">
      <c r="H679" s="86"/>
    </row>
    <row r="680" spans="8:8" x14ac:dyDescent="0.3">
      <c r="H680" s="86"/>
    </row>
    <row r="681" spans="8:8" x14ac:dyDescent="0.3">
      <c r="H681" s="86"/>
    </row>
    <row r="682" spans="8:8" x14ac:dyDescent="0.3">
      <c r="H682" s="86"/>
    </row>
    <row r="683" spans="8:8" x14ac:dyDescent="0.3">
      <c r="H683" s="86"/>
    </row>
    <row r="684" spans="8:8" x14ac:dyDescent="0.3">
      <c r="H684" s="86"/>
    </row>
    <row r="685" spans="8:8" x14ac:dyDescent="0.3">
      <c r="H685" s="86"/>
    </row>
    <row r="686" spans="8:8" x14ac:dyDescent="0.3">
      <c r="H686" s="86"/>
    </row>
    <row r="687" spans="8:8" x14ac:dyDescent="0.3">
      <c r="H687" s="86"/>
    </row>
    <row r="688" spans="8:8" x14ac:dyDescent="0.3">
      <c r="H688" s="86"/>
    </row>
    <row r="689" spans="8:8" x14ac:dyDescent="0.3">
      <c r="H689" s="86"/>
    </row>
    <row r="690" spans="8:8" x14ac:dyDescent="0.3">
      <c r="H690" s="86"/>
    </row>
    <row r="691" spans="8:8" x14ac:dyDescent="0.3">
      <c r="H691" s="86"/>
    </row>
    <row r="692" spans="8:8" x14ac:dyDescent="0.3">
      <c r="H692" s="86"/>
    </row>
    <row r="693" spans="8:8" x14ac:dyDescent="0.3">
      <c r="H693" s="86"/>
    </row>
    <row r="694" spans="8:8" x14ac:dyDescent="0.3">
      <c r="H694" s="86"/>
    </row>
    <row r="695" spans="8:8" x14ac:dyDescent="0.3">
      <c r="H695" s="86"/>
    </row>
    <row r="696" spans="8:8" x14ac:dyDescent="0.3">
      <c r="H696" s="86"/>
    </row>
    <row r="697" spans="8:8" x14ac:dyDescent="0.3">
      <c r="H697" s="86"/>
    </row>
    <row r="698" spans="8:8" x14ac:dyDescent="0.3">
      <c r="H698" s="86"/>
    </row>
    <row r="699" spans="8:8" x14ac:dyDescent="0.3">
      <c r="H699" s="86"/>
    </row>
    <row r="700" spans="8:8" x14ac:dyDescent="0.3">
      <c r="H700" s="86"/>
    </row>
    <row r="701" spans="8:8" x14ac:dyDescent="0.3">
      <c r="H701" s="86"/>
    </row>
    <row r="702" spans="8:8" x14ac:dyDescent="0.3">
      <c r="H702" s="86"/>
    </row>
    <row r="703" spans="8:8" x14ac:dyDescent="0.3">
      <c r="H703" s="86"/>
    </row>
    <row r="704" spans="8:8" x14ac:dyDescent="0.3">
      <c r="H704" s="86"/>
    </row>
    <row r="705" spans="8:8" x14ac:dyDescent="0.3">
      <c r="H705" s="86"/>
    </row>
    <row r="706" spans="8:8" x14ac:dyDescent="0.3">
      <c r="H706" s="86"/>
    </row>
    <row r="707" spans="8:8" x14ac:dyDescent="0.3">
      <c r="H707" s="86"/>
    </row>
    <row r="708" spans="8:8" x14ac:dyDescent="0.3">
      <c r="H708" s="86"/>
    </row>
    <row r="709" spans="8:8" x14ac:dyDescent="0.3">
      <c r="H709" s="86"/>
    </row>
    <row r="710" spans="8:8" x14ac:dyDescent="0.3">
      <c r="H710" s="86"/>
    </row>
    <row r="711" spans="8:8" x14ac:dyDescent="0.3">
      <c r="H711" s="86"/>
    </row>
    <row r="712" spans="8:8" x14ac:dyDescent="0.3">
      <c r="H712" s="86"/>
    </row>
    <row r="713" spans="8:8" x14ac:dyDescent="0.3">
      <c r="H713" s="86"/>
    </row>
    <row r="714" spans="8:8" x14ac:dyDescent="0.3">
      <c r="H714" s="86"/>
    </row>
    <row r="715" spans="8:8" x14ac:dyDescent="0.3">
      <c r="H715" s="86"/>
    </row>
    <row r="716" spans="8:8" x14ac:dyDescent="0.3">
      <c r="H716" s="86"/>
    </row>
    <row r="717" spans="8:8" x14ac:dyDescent="0.3">
      <c r="H717" s="86"/>
    </row>
    <row r="718" spans="8:8" x14ac:dyDescent="0.3">
      <c r="H718" s="86"/>
    </row>
    <row r="719" spans="8:8" x14ac:dyDescent="0.3">
      <c r="H719" s="86"/>
    </row>
    <row r="720" spans="8:8" x14ac:dyDescent="0.3">
      <c r="H720" s="86"/>
    </row>
    <row r="721" spans="8:8" x14ac:dyDescent="0.3">
      <c r="H721" s="86"/>
    </row>
    <row r="722" spans="8:8" x14ac:dyDescent="0.3">
      <c r="H722" s="86"/>
    </row>
    <row r="723" spans="8:8" x14ac:dyDescent="0.3">
      <c r="H723" s="86"/>
    </row>
    <row r="724" spans="8:8" x14ac:dyDescent="0.3">
      <c r="H724" s="86"/>
    </row>
    <row r="725" spans="8:8" x14ac:dyDescent="0.3">
      <c r="H725" s="86"/>
    </row>
    <row r="726" spans="8:8" x14ac:dyDescent="0.3">
      <c r="H726" s="86"/>
    </row>
    <row r="727" spans="8:8" x14ac:dyDescent="0.3">
      <c r="H727" s="86"/>
    </row>
    <row r="728" spans="8:8" x14ac:dyDescent="0.3">
      <c r="H728" s="86"/>
    </row>
    <row r="729" spans="8:8" x14ac:dyDescent="0.3">
      <c r="H729" s="86"/>
    </row>
    <row r="730" spans="8:8" x14ac:dyDescent="0.3">
      <c r="H730" s="86"/>
    </row>
    <row r="731" spans="8:8" x14ac:dyDescent="0.3">
      <c r="H731" s="86"/>
    </row>
    <row r="732" spans="8:8" x14ac:dyDescent="0.3">
      <c r="H732" s="86"/>
    </row>
    <row r="733" spans="8:8" x14ac:dyDescent="0.3">
      <c r="H733" s="86"/>
    </row>
    <row r="734" spans="8:8" x14ac:dyDescent="0.3">
      <c r="H734" s="86"/>
    </row>
    <row r="735" spans="8:8" x14ac:dyDescent="0.3">
      <c r="H735" s="86"/>
    </row>
    <row r="736" spans="8:8" x14ac:dyDescent="0.3">
      <c r="H736" s="86"/>
    </row>
    <row r="737" spans="8:8" x14ac:dyDescent="0.3">
      <c r="H737" s="86"/>
    </row>
    <row r="738" spans="8:8" x14ac:dyDescent="0.3">
      <c r="H738" s="86"/>
    </row>
    <row r="739" spans="8:8" x14ac:dyDescent="0.3">
      <c r="H739" s="86"/>
    </row>
    <row r="740" spans="8:8" x14ac:dyDescent="0.3">
      <c r="H740" s="86"/>
    </row>
    <row r="741" spans="8:8" x14ac:dyDescent="0.3">
      <c r="H741" s="86"/>
    </row>
    <row r="742" spans="8:8" x14ac:dyDescent="0.3">
      <c r="H742" s="86"/>
    </row>
    <row r="743" spans="8:8" x14ac:dyDescent="0.3">
      <c r="H743" s="86"/>
    </row>
    <row r="744" spans="8:8" x14ac:dyDescent="0.3">
      <c r="H744" s="86"/>
    </row>
    <row r="745" spans="8:8" x14ac:dyDescent="0.3">
      <c r="H745" s="86"/>
    </row>
    <row r="746" spans="8:8" x14ac:dyDescent="0.3">
      <c r="H746" s="86"/>
    </row>
    <row r="747" spans="8:8" x14ac:dyDescent="0.3">
      <c r="H747" s="86"/>
    </row>
    <row r="748" spans="8:8" x14ac:dyDescent="0.3">
      <c r="H748" s="86"/>
    </row>
    <row r="749" spans="8:8" x14ac:dyDescent="0.3">
      <c r="H749" s="86"/>
    </row>
    <row r="750" spans="8:8" x14ac:dyDescent="0.3">
      <c r="H750" s="86"/>
    </row>
    <row r="751" spans="8:8" x14ac:dyDescent="0.3">
      <c r="H751" s="86"/>
    </row>
    <row r="752" spans="8:8" x14ac:dyDescent="0.3">
      <c r="H752" s="86"/>
    </row>
    <row r="753" spans="8:8" x14ac:dyDescent="0.3">
      <c r="H753" s="86"/>
    </row>
    <row r="754" spans="8:8" x14ac:dyDescent="0.3">
      <c r="H754" s="86"/>
    </row>
    <row r="755" spans="8:8" x14ac:dyDescent="0.3">
      <c r="H755" s="86"/>
    </row>
    <row r="756" spans="8:8" x14ac:dyDescent="0.3">
      <c r="H756" s="86"/>
    </row>
    <row r="757" spans="8:8" x14ac:dyDescent="0.3">
      <c r="H757" s="86"/>
    </row>
    <row r="758" spans="8:8" x14ac:dyDescent="0.3">
      <c r="H758" s="86"/>
    </row>
    <row r="759" spans="8:8" x14ac:dyDescent="0.3">
      <c r="H759" s="86"/>
    </row>
    <row r="760" spans="8:8" x14ac:dyDescent="0.3">
      <c r="H760" s="86"/>
    </row>
    <row r="761" spans="8:8" x14ac:dyDescent="0.3">
      <c r="H761" s="86"/>
    </row>
    <row r="762" spans="8:8" x14ac:dyDescent="0.3">
      <c r="H762" s="86"/>
    </row>
    <row r="763" spans="8:8" x14ac:dyDescent="0.3">
      <c r="H763" s="86"/>
    </row>
    <row r="764" spans="8:8" x14ac:dyDescent="0.3">
      <c r="H764" s="86"/>
    </row>
    <row r="765" spans="8:8" x14ac:dyDescent="0.3">
      <c r="H765" s="86"/>
    </row>
    <row r="766" spans="8:8" x14ac:dyDescent="0.3">
      <c r="H766" s="86"/>
    </row>
    <row r="767" spans="8:8" x14ac:dyDescent="0.3">
      <c r="H767" s="86"/>
    </row>
    <row r="768" spans="8:8" x14ac:dyDescent="0.3">
      <c r="H768" s="86"/>
    </row>
    <row r="769" spans="8:8" x14ac:dyDescent="0.3">
      <c r="H769" s="86"/>
    </row>
    <row r="770" spans="8:8" x14ac:dyDescent="0.3">
      <c r="H770" s="86"/>
    </row>
    <row r="771" spans="8:8" x14ac:dyDescent="0.3">
      <c r="H771" s="86"/>
    </row>
    <row r="772" spans="8:8" x14ac:dyDescent="0.3">
      <c r="H772" s="86"/>
    </row>
    <row r="773" spans="8:8" x14ac:dyDescent="0.3">
      <c r="H773" s="86"/>
    </row>
    <row r="774" spans="8:8" x14ac:dyDescent="0.3">
      <c r="H774" s="86"/>
    </row>
    <row r="775" spans="8:8" x14ac:dyDescent="0.3">
      <c r="H775" s="86"/>
    </row>
    <row r="776" spans="8:8" x14ac:dyDescent="0.3">
      <c r="H776" s="86"/>
    </row>
    <row r="777" spans="8:8" x14ac:dyDescent="0.3">
      <c r="H777" s="86"/>
    </row>
    <row r="778" spans="8:8" x14ac:dyDescent="0.3">
      <c r="H778" s="86"/>
    </row>
    <row r="779" spans="8:8" x14ac:dyDescent="0.3">
      <c r="H779" s="86"/>
    </row>
    <row r="780" spans="8:8" x14ac:dyDescent="0.3">
      <c r="H780" s="86"/>
    </row>
    <row r="781" spans="8:8" x14ac:dyDescent="0.3">
      <c r="H781" s="86"/>
    </row>
    <row r="782" spans="8:8" x14ac:dyDescent="0.3">
      <c r="H782" s="86"/>
    </row>
    <row r="783" spans="8:8" x14ac:dyDescent="0.3">
      <c r="H783" s="86"/>
    </row>
    <row r="784" spans="8:8" x14ac:dyDescent="0.3">
      <c r="H784" s="86"/>
    </row>
    <row r="785" spans="8:8" x14ac:dyDescent="0.3">
      <c r="H785" s="86"/>
    </row>
    <row r="786" spans="8:8" x14ac:dyDescent="0.3">
      <c r="H786" s="86"/>
    </row>
    <row r="787" spans="8:8" x14ac:dyDescent="0.3">
      <c r="H787" s="86"/>
    </row>
    <row r="788" spans="8:8" x14ac:dyDescent="0.3">
      <c r="H788" s="86"/>
    </row>
    <row r="789" spans="8:8" x14ac:dyDescent="0.3">
      <c r="H789" s="86"/>
    </row>
    <row r="790" spans="8:8" x14ac:dyDescent="0.3">
      <c r="H790" s="86"/>
    </row>
    <row r="791" spans="8:8" x14ac:dyDescent="0.3">
      <c r="H791" s="86"/>
    </row>
    <row r="792" spans="8:8" x14ac:dyDescent="0.3">
      <c r="H792" s="86"/>
    </row>
    <row r="793" spans="8:8" x14ac:dyDescent="0.3">
      <c r="H793" s="86"/>
    </row>
    <row r="794" spans="8:8" x14ac:dyDescent="0.3">
      <c r="H794" s="86"/>
    </row>
    <row r="795" spans="8:8" x14ac:dyDescent="0.3">
      <c r="H795" s="86"/>
    </row>
    <row r="796" spans="8:8" x14ac:dyDescent="0.3">
      <c r="H796" s="86"/>
    </row>
    <row r="797" spans="8:8" x14ac:dyDescent="0.3">
      <c r="H797" s="86"/>
    </row>
    <row r="798" spans="8:8" x14ac:dyDescent="0.3">
      <c r="H798" s="86"/>
    </row>
    <row r="799" spans="8:8" x14ac:dyDescent="0.3">
      <c r="H799" s="86"/>
    </row>
    <row r="800" spans="8:8" x14ac:dyDescent="0.3">
      <c r="H800" s="86"/>
    </row>
    <row r="801" spans="8:8" x14ac:dyDescent="0.3">
      <c r="H801" s="86"/>
    </row>
    <row r="802" spans="8:8" x14ac:dyDescent="0.3">
      <c r="H802" s="86"/>
    </row>
    <row r="803" spans="8:8" x14ac:dyDescent="0.3">
      <c r="H803" s="86"/>
    </row>
    <row r="804" spans="8:8" x14ac:dyDescent="0.3">
      <c r="H804" s="86"/>
    </row>
    <row r="805" spans="8:8" x14ac:dyDescent="0.3">
      <c r="H805" s="86"/>
    </row>
    <row r="806" spans="8:8" x14ac:dyDescent="0.3">
      <c r="H806" s="86"/>
    </row>
    <row r="807" spans="8:8" x14ac:dyDescent="0.3">
      <c r="H807" s="86"/>
    </row>
    <row r="808" spans="8:8" x14ac:dyDescent="0.3">
      <c r="H808" s="86"/>
    </row>
    <row r="809" spans="8:8" x14ac:dyDescent="0.3">
      <c r="H809" s="86"/>
    </row>
    <row r="810" spans="8:8" x14ac:dyDescent="0.3">
      <c r="H810" s="86"/>
    </row>
    <row r="811" spans="8:8" x14ac:dyDescent="0.3">
      <c r="H811" s="86"/>
    </row>
    <row r="812" spans="8:8" x14ac:dyDescent="0.3">
      <c r="H812" s="86"/>
    </row>
    <row r="813" spans="8:8" x14ac:dyDescent="0.3">
      <c r="H813" s="86"/>
    </row>
    <row r="814" spans="8:8" x14ac:dyDescent="0.3">
      <c r="H814" s="86"/>
    </row>
    <row r="815" spans="8:8" x14ac:dyDescent="0.3">
      <c r="H815" s="86"/>
    </row>
    <row r="816" spans="8:8" x14ac:dyDescent="0.3">
      <c r="H816" s="86"/>
    </row>
    <row r="817" spans="8:8" x14ac:dyDescent="0.3">
      <c r="H817" s="86"/>
    </row>
    <row r="818" spans="8:8" x14ac:dyDescent="0.3">
      <c r="H818" s="86"/>
    </row>
    <row r="819" spans="8:8" x14ac:dyDescent="0.3">
      <c r="H819" s="86"/>
    </row>
    <row r="820" spans="8:8" x14ac:dyDescent="0.3">
      <c r="H820" s="86"/>
    </row>
    <row r="821" spans="8:8" x14ac:dyDescent="0.3">
      <c r="H821" s="86"/>
    </row>
    <row r="822" spans="8:8" x14ac:dyDescent="0.3">
      <c r="H822" s="86"/>
    </row>
    <row r="823" spans="8:8" x14ac:dyDescent="0.3">
      <c r="H823" s="86"/>
    </row>
    <row r="824" spans="8:8" x14ac:dyDescent="0.3">
      <c r="H824" s="86"/>
    </row>
    <row r="825" spans="8:8" x14ac:dyDescent="0.3">
      <c r="H825" s="86"/>
    </row>
    <row r="826" spans="8:8" x14ac:dyDescent="0.3">
      <c r="H826" s="86"/>
    </row>
    <row r="827" spans="8:8" x14ac:dyDescent="0.3">
      <c r="H827" s="86"/>
    </row>
    <row r="828" spans="8:8" x14ac:dyDescent="0.3">
      <c r="H828" s="86"/>
    </row>
    <row r="829" spans="8:8" x14ac:dyDescent="0.3">
      <c r="H829" s="86"/>
    </row>
    <row r="830" spans="8:8" x14ac:dyDescent="0.3">
      <c r="H830" s="86"/>
    </row>
    <row r="831" spans="8:8" x14ac:dyDescent="0.3">
      <c r="H831" s="86"/>
    </row>
    <row r="832" spans="8:8" x14ac:dyDescent="0.3">
      <c r="H832" s="86"/>
    </row>
    <row r="833" spans="8:8" x14ac:dyDescent="0.3">
      <c r="H833" s="86"/>
    </row>
    <row r="834" spans="8:8" x14ac:dyDescent="0.3">
      <c r="H834" s="86"/>
    </row>
    <row r="835" spans="8:8" x14ac:dyDescent="0.3">
      <c r="H835" s="86"/>
    </row>
    <row r="836" spans="8:8" x14ac:dyDescent="0.3">
      <c r="H836" s="86"/>
    </row>
    <row r="837" spans="8:8" x14ac:dyDescent="0.3">
      <c r="H837" s="86"/>
    </row>
    <row r="838" spans="8:8" x14ac:dyDescent="0.3">
      <c r="H838" s="86"/>
    </row>
    <row r="839" spans="8:8" x14ac:dyDescent="0.3">
      <c r="H839" s="86"/>
    </row>
    <row r="840" spans="8:8" x14ac:dyDescent="0.3">
      <c r="H840" s="86"/>
    </row>
    <row r="841" spans="8:8" x14ac:dyDescent="0.3">
      <c r="H841" s="86"/>
    </row>
    <row r="842" spans="8:8" x14ac:dyDescent="0.3">
      <c r="H842" s="86"/>
    </row>
    <row r="843" spans="8:8" x14ac:dyDescent="0.3">
      <c r="H843" s="86"/>
    </row>
    <row r="844" spans="8:8" x14ac:dyDescent="0.3">
      <c r="H844" s="86"/>
    </row>
    <row r="845" spans="8:8" x14ac:dyDescent="0.3">
      <c r="H845" s="86"/>
    </row>
    <row r="846" spans="8:8" x14ac:dyDescent="0.3">
      <c r="H846" s="86"/>
    </row>
    <row r="847" spans="8:8" x14ac:dyDescent="0.3">
      <c r="H847" s="86"/>
    </row>
    <row r="848" spans="8:8" x14ac:dyDescent="0.3">
      <c r="H848" s="86"/>
    </row>
    <row r="849" spans="8:8" x14ac:dyDescent="0.3">
      <c r="H849" s="86"/>
    </row>
    <row r="850" spans="8:8" x14ac:dyDescent="0.3">
      <c r="H850" s="86"/>
    </row>
    <row r="851" spans="8:8" x14ac:dyDescent="0.3">
      <c r="H851" s="86"/>
    </row>
    <row r="852" spans="8:8" x14ac:dyDescent="0.3">
      <c r="H852" s="86"/>
    </row>
    <row r="853" spans="8:8" x14ac:dyDescent="0.3">
      <c r="H853" s="86"/>
    </row>
    <row r="854" spans="8:8" x14ac:dyDescent="0.3">
      <c r="H854" s="86"/>
    </row>
    <row r="855" spans="8:8" x14ac:dyDescent="0.3">
      <c r="H855" s="86"/>
    </row>
    <row r="856" spans="8:8" x14ac:dyDescent="0.3">
      <c r="H856" s="86"/>
    </row>
    <row r="857" spans="8:8" x14ac:dyDescent="0.3">
      <c r="H857" s="86"/>
    </row>
    <row r="858" spans="8:8" x14ac:dyDescent="0.3">
      <c r="H858" s="86"/>
    </row>
    <row r="859" spans="8:8" x14ac:dyDescent="0.3">
      <c r="H859" s="86"/>
    </row>
    <row r="860" spans="8:8" x14ac:dyDescent="0.3">
      <c r="H860" s="86"/>
    </row>
    <row r="861" spans="8:8" x14ac:dyDescent="0.3">
      <c r="H861" s="86"/>
    </row>
    <row r="862" spans="8:8" x14ac:dyDescent="0.3">
      <c r="H862" s="86"/>
    </row>
    <row r="863" spans="8:8" x14ac:dyDescent="0.3">
      <c r="H863" s="86"/>
    </row>
    <row r="864" spans="8:8" x14ac:dyDescent="0.3">
      <c r="H864" s="86"/>
    </row>
    <row r="865" spans="8:8" x14ac:dyDescent="0.3">
      <c r="H865" s="86"/>
    </row>
    <row r="866" spans="8:8" x14ac:dyDescent="0.3">
      <c r="H866" s="86"/>
    </row>
    <row r="867" spans="8:8" x14ac:dyDescent="0.3">
      <c r="H867" s="86"/>
    </row>
    <row r="868" spans="8:8" x14ac:dyDescent="0.3">
      <c r="H868" s="86"/>
    </row>
    <row r="869" spans="8:8" x14ac:dyDescent="0.3">
      <c r="H869" s="86"/>
    </row>
    <row r="870" spans="8:8" x14ac:dyDescent="0.3">
      <c r="H870" s="86"/>
    </row>
    <row r="871" spans="8:8" x14ac:dyDescent="0.3">
      <c r="H871" s="86"/>
    </row>
    <row r="872" spans="8:8" x14ac:dyDescent="0.3">
      <c r="H872" s="86"/>
    </row>
    <row r="873" spans="8:8" x14ac:dyDescent="0.3">
      <c r="H873" s="86"/>
    </row>
    <row r="874" spans="8:8" x14ac:dyDescent="0.3">
      <c r="H874" s="86"/>
    </row>
    <row r="875" spans="8:8" x14ac:dyDescent="0.3">
      <c r="H875" s="86"/>
    </row>
    <row r="876" spans="8:8" x14ac:dyDescent="0.3">
      <c r="H876" s="86"/>
    </row>
    <row r="877" spans="8:8" x14ac:dyDescent="0.3">
      <c r="H877" s="86"/>
    </row>
    <row r="878" spans="8:8" x14ac:dyDescent="0.3">
      <c r="H878" s="86"/>
    </row>
    <row r="879" spans="8:8" x14ac:dyDescent="0.3">
      <c r="H879" s="86"/>
    </row>
    <row r="880" spans="8:8" x14ac:dyDescent="0.3">
      <c r="H880" s="86"/>
    </row>
    <row r="881" spans="8:8" x14ac:dyDescent="0.3">
      <c r="H881" s="86"/>
    </row>
    <row r="882" spans="8:8" x14ac:dyDescent="0.3">
      <c r="H882" s="86"/>
    </row>
    <row r="883" spans="8:8" x14ac:dyDescent="0.3">
      <c r="H883" s="86"/>
    </row>
    <row r="884" spans="8:8" x14ac:dyDescent="0.3">
      <c r="H884" s="86"/>
    </row>
    <row r="885" spans="8:8" x14ac:dyDescent="0.3">
      <c r="H885" s="86"/>
    </row>
    <row r="886" spans="8:8" x14ac:dyDescent="0.3">
      <c r="H886" s="86"/>
    </row>
    <row r="887" spans="8:8" x14ac:dyDescent="0.3">
      <c r="H887" s="86"/>
    </row>
    <row r="888" spans="8:8" x14ac:dyDescent="0.3">
      <c r="H888" s="86"/>
    </row>
    <row r="889" spans="8:8" x14ac:dyDescent="0.3">
      <c r="H889" s="86"/>
    </row>
    <row r="890" spans="8:8" x14ac:dyDescent="0.3">
      <c r="H890" s="86"/>
    </row>
    <row r="891" spans="8:8" x14ac:dyDescent="0.3">
      <c r="H891" s="86"/>
    </row>
    <row r="892" spans="8:8" x14ac:dyDescent="0.3">
      <c r="H892" s="86"/>
    </row>
    <row r="893" spans="8:8" x14ac:dyDescent="0.3">
      <c r="H893" s="86"/>
    </row>
    <row r="894" spans="8:8" x14ac:dyDescent="0.3">
      <c r="H894" s="86"/>
    </row>
    <row r="895" spans="8:8" x14ac:dyDescent="0.3">
      <c r="H895" s="86"/>
    </row>
    <row r="896" spans="8:8" x14ac:dyDescent="0.3">
      <c r="H896" s="86"/>
    </row>
    <row r="897" spans="8:8" x14ac:dyDescent="0.3">
      <c r="H897" s="86"/>
    </row>
    <row r="898" spans="8:8" x14ac:dyDescent="0.3">
      <c r="H898" s="86"/>
    </row>
    <row r="899" spans="8:8" x14ac:dyDescent="0.3">
      <c r="H899" s="86"/>
    </row>
    <row r="900" spans="8:8" x14ac:dyDescent="0.3">
      <c r="H900" s="86"/>
    </row>
    <row r="901" spans="8:8" x14ac:dyDescent="0.3">
      <c r="H901" s="86"/>
    </row>
    <row r="902" spans="8:8" x14ac:dyDescent="0.3">
      <c r="H902" s="86"/>
    </row>
    <row r="903" spans="8:8" x14ac:dyDescent="0.3">
      <c r="H903" s="86"/>
    </row>
    <row r="904" spans="8:8" x14ac:dyDescent="0.3">
      <c r="H904" s="86"/>
    </row>
    <row r="905" spans="8:8" x14ac:dyDescent="0.3">
      <c r="H905" s="86"/>
    </row>
    <row r="906" spans="8:8" x14ac:dyDescent="0.3">
      <c r="H906" s="86"/>
    </row>
    <row r="907" spans="8:8" x14ac:dyDescent="0.3">
      <c r="H907" s="86"/>
    </row>
    <row r="908" spans="8:8" x14ac:dyDescent="0.3">
      <c r="H908" s="86"/>
    </row>
    <row r="909" spans="8:8" x14ac:dyDescent="0.3">
      <c r="H909" s="86"/>
    </row>
    <row r="910" spans="8:8" x14ac:dyDescent="0.3">
      <c r="H910" s="86"/>
    </row>
    <row r="911" spans="8:8" x14ac:dyDescent="0.3">
      <c r="H911" s="86"/>
    </row>
    <row r="912" spans="8:8" x14ac:dyDescent="0.3">
      <c r="H912" s="86"/>
    </row>
    <row r="913" spans="8:8" x14ac:dyDescent="0.3">
      <c r="H913" s="86"/>
    </row>
    <row r="914" spans="8:8" x14ac:dyDescent="0.3">
      <c r="H914" s="86"/>
    </row>
    <row r="915" spans="8:8" x14ac:dyDescent="0.3">
      <c r="H915" s="86"/>
    </row>
    <row r="916" spans="8:8" x14ac:dyDescent="0.3">
      <c r="H916" s="86"/>
    </row>
    <row r="917" spans="8:8" x14ac:dyDescent="0.3">
      <c r="H917" s="86"/>
    </row>
    <row r="918" spans="8:8" x14ac:dyDescent="0.3">
      <c r="H918" s="86"/>
    </row>
    <row r="919" spans="8:8" x14ac:dyDescent="0.3">
      <c r="H919" s="86"/>
    </row>
    <row r="920" spans="8:8" x14ac:dyDescent="0.3">
      <c r="H920" s="86"/>
    </row>
    <row r="921" spans="8:8" x14ac:dyDescent="0.3">
      <c r="H921" s="86"/>
    </row>
    <row r="922" spans="8:8" x14ac:dyDescent="0.3">
      <c r="H922" s="86"/>
    </row>
    <row r="923" spans="8:8" x14ac:dyDescent="0.3">
      <c r="H923" s="86"/>
    </row>
    <row r="924" spans="8:8" x14ac:dyDescent="0.3">
      <c r="H924" s="86"/>
    </row>
    <row r="925" spans="8:8" x14ac:dyDescent="0.3">
      <c r="H925" s="86"/>
    </row>
    <row r="926" spans="8:8" x14ac:dyDescent="0.3">
      <c r="H926" s="86"/>
    </row>
    <row r="927" spans="8:8" x14ac:dyDescent="0.3">
      <c r="H927" s="86"/>
    </row>
    <row r="928" spans="8:8" x14ac:dyDescent="0.3">
      <c r="H928" s="86"/>
    </row>
    <row r="929" spans="8:8" x14ac:dyDescent="0.3">
      <c r="H929" s="86"/>
    </row>
    <row r="930" spans="8:8" x14ac:dyDescent="0.3">
      <c r="H930" s="86"/>
    </row>
    <row r="931" spans="8:8" x14ac:dyDescent="0.3">
      <c r="H931" s="86"/>
    </row>
    <row r="932" spans="8:8" x14ac:dyDescent="0.3">
      <c r="H932" s="86"/>
    </row>
    <row r="933" spans="8:8" x14ac:dyDescent="0.3">
      <c r="H933" s="86"/>
    </row>
    <row r="934" spans="8:8" x14ac:dyDescent="0.3">
      <c r="H934" s="86"/>
    </row>
    <row r="935" spans="8:8" x14ac:dyDescent="0.3">
      <c r="H935" s="86"/>
    </row>
    <row r="936" spans="8:8" x14ac:dyDescent="0.3">
      <c r="H936" s="86"/>
    </row>
    <row r="937" spans="8:8" x14ac:dyDescent="0.3">
      <c r="H937" s="86"/>
    </row>
    <row r="938" spans="8:8" x14ac:dyDescent="0.3">
      <c r="H938" s="86"/>
    </row>
    <row r="939" spans="8:8" x14ac:dyDescent="0.3">
      <c r="H939" s="86"/>
    </row>
    <row r="940" spans="8:8" x14ac:dyDescent="0.3">
      <c r="H940" s="86"/>
    </row>
    <row r="941" spans="8:8" x14ac:dyDescent="0.3">
      <c r="H941" s="86"/>
    </row>
    <row r="942" spans="8:8" x14ac:dyDescent="0.3">
      <c r="H942" s="86"/>
    </row>
    <row r="943" spans="8:8" x14ac:dyDescent="0.3">
      <c r="H943" s="86"/>
    </row>
    <row r="944" spans="8:8" x14ac:dyDescent="0.3">
      <c r="H944" s="86"/>
    </row>
    <row r="945" spans="8:8" x14ac:dyDescent="0.3">
      <c r="H945" s="86"/>
    </row>
    <row r="946" spans="8:8" x14ac:dyDescent="0.3">
      <c r="H946" s="86"/>
    </row>
    <row r="947" spans="8:8" x14ac:dyDescent="0.3">
      <c r="H947" s="86"/>
    </row>
    <row r="948" spans="8:8" x14ac:dyDescent="0.3">
      <c r="H948" s="86"/>
    </row>
    <row r="949" spans="8:8" x14ac:dyDescent="0.3">
      <c r="H949" s="86"/>
    </row>
    <row r="950" spans="8:8" x14ac:dyDescent="0.3">
      <c r="H950" s="86"/>
    </row>
    <row r="951" spans="8:8" x14ac:dyDescent="0.3">
      <c r="H951" s="86"/>
    </row>
    <row r="952" spans="8:8" x14ac:dyDescent="0.3">
      <c r="H952" s="86"/>
    </row>
    <row r="953" spans="8:8" x14ac:dyDescent="0.3">
      <c r="H953" s="86"/>
    </row>
    <row r="954" spans="8:8" x14ac:dyDescent="0.3">
      <c r="H954" s="86"/>
    </row>
    <row r="955" spans="8:8" x14ac:dyDescent="0.3">
      <c r="H955" s="86"/>
    </row>
    <row r="956" spans="8:8" x14ac:dyDescent="0.3">
      <c r="H956" s="86"/>
    </row>
    <row r="957" spans="8:8" x14ac:dyDescent="0.3">
      <c r="H957" s="86"/>
    </row>
    <row r="958" spans="8:8" x14ac:dyDescent="0.3">
      <c r="H958" s="86"/>
    </row>
    <row r="959" spans="8:8" x14ac:dyDescent="0.3">
      <c r="H959" s="86"/>
    </row>
    <row r="960" spans="8:8" x14ac:dyDescent="0.3">
      <c r="H960" s="86"/>
    </row>
    <row r="961" spans="8:8" x14ac:dyDescent="0.3">
      <c r="H961" s="86"/>
    </row>
    <row r="962" spans="8:8" x14ac:dyDescent="0.3">
      <c r="H962" s="86"/>
    </row>
    <row r="963" spans="8:8" x14ac:dyDescent="0.3">
      <c r="H963" s="86"/>
    </row>
    <row r="964" spans="8:8" x14ac:dyDescent="0.3">
      <c r="H964" s="86"/>
    </row>
    <row r="965" spans="8:8" x14ac:dyDescent="0.3">
      <c r="H965" s="86"/>
    </row>
    <row r="966" spans="8:8" x14ac:dyDescent="0.3">
      <c r="H966" s="86"/>
    </row>
    <row r="967" spans="8:8" x14ac:dyDescent="0.3">
      <c r="H967" s="86"/>
    </row>
    <row r="968" spans="8:8" x14ac:dyDescent="0.3">
      <c r="H968" s="86"/>
    </row>
    <row r="969" spans="8:8" x14ac:dyDescent="0.3">
      <c r="H969" s="86"/>
    </row>
    <row r="970" spans="8:8" x14ac:dyDescent="0.3">
      <c r="H970" s="86"/>
    </row>
    <row r="971" spans="8:8" x14ac:dyDescent="0.3">
      <c r="H971" s="86"/>
    </row>
    <row r="972" spans="8:8" x14ac:dyDescent="0.3">
      <c r="H972" s="86"/>
    </row>
    <row r="973" spans="8:8" x14ac:dyDescent="0.3">
      <c r="H973" s="86"/>
    </row>
    <row r="974" spans="8:8" x14ac:dyDescent="0.3">
      <c r="H974" s="86"/>
    </row>
    <row r="975" spans="8:8" x14ac:dyDescent="0.3">
      <c r="H975" s="86"/>
    </row>
    <row r="976" spans="8:8" x14ac:dyDescent="0.3">
      <c r="H976" s="86"/>
    </row>
    <row r="977" spans="8:8" x14ac:dyDescent="0.3">
      <c r="H977" s="86"/>
    </row>
    <row r="978" spans="8:8" x14ac:dyDescent="0.3">
      <c r="H978" s="86"/>
    </row>
    <row r="979" spans="8:8" x14ac:dyDescent="0.3">
      <c r="H979" s="86"/>
    </row>
    <row r="980" spans="8:8" x14ac:dyDescent="0.3">
      <c r="H980" s="86"/>
    </row>
    <row r="981" spans="8:8" x14ac:dyDescent="0.3">
      <c r="H981" s="86"/>
    </row>
    <row r="982" spans="8:8" x14ac:dyDescent="0.3">
      <c r="H982" s="86"/>
    </row>
    <row r="983" spans="8:8" x14ac:dyDescent="0.3">
      <c r="H983" s="86"/>
    </row>
    <row r="984" spans="8:8" x14ac:dyDescent="0.3">
      <c r="H984" s="86"/>
    </row>
    <row r="985" spans="8:8" x14ac:dyDescent="0.3">
      <c r="H985" s="86"/>
    </row>
    <row r="986" spans="8:8" x14ac:dyDescent="0.3">
      <c r="H986" s="86"/>
    </row>
    <row r="987" spans="8:8" x14ac:dyDescent="0.3">
      <c r="H987" s="86"/>
    </row>
    <row r="988" spans="8:8" x14ac:dyDescent="0.3">
      <c r="H988" s="86"/>
    </row>
    <row r="989" spans="8:8" x14ac:dyDescent="0.3">
      <c r="H989" s="86"/>
    </row>
    <row r="990" spans="8:8" x14ac:dyDescent="0.3">
      <c r="H990" s="86"/>
    </row>
    <row r="991" spans="8:8" x14ac:dyDescent="0.3">
      <c r="H991" s="86"/>
    </row>
    <row r="992" spans="8:8" x14ac:dyDescent="0.3">
      <c r="H992" s="86"/>
    </row>
    <row r="993" spans="8:8" x14ac:dyDescent="0.3">
      <c r="H993" s="86"/>
    </row>
    <row r="994" spans="8:8" x14ac:dyDescent="0.3">
      <c r="H994" s="86"/>
    </row>
    <row r="995" spans="8:8" x14ac:dyDescent="0.3">
      <c r="H995" s="86"/>
    </row>
    <row r="996" spans="8:8" x14ac:dyDescent="0.3">
      <c r="H996" s="86"/>
    </row>
    <row r="997" spans="8:8" x14ac:dyDescent="0.3">
      <c r="H997" s="86"/>
    </row>
    <row r="998" spans="8:8" x14ac:dyDescent="0.3">
      <c r="H998" s="86"/>
    </row>
    <row r="999" spans="8:8" x14ac:dyDescent="0.3">
      <c r="H999" s="86"/>
    </row>
    <row r="1000" spans="8:8" x14ac:dyDescent="0.3">
      <c r="H1000" s="8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31"/>
  <sheetViews>
    <sheetView workbookViewId="0"/>
  </sheetViews>
  <sheetFormatPr baseColWidth="10" defaultColWidth="14.44140625" defaultRowHeight="15" customHeight="1" x14ac:dyDescent="0.3"/>
  <cols>
    <col min="1" max="1" width="15" customWidth="1"/>
    <col min="2" max="2" width="26.44140625" customWidth="1"/>
    <col min="3" max="3" width="25.33203125" customWidth="1"/>
    <col min="4" max="4" width="86.88671875" customWidth="1"/>
  </cols>
  <sheetData>
    <row r="1" spans="1:4" x14ac:dyDescent="0.3">
      <c r="A1" s="87" t="s">
        <v>419</v>
      </c>
      <c r="B1" s="87" t="s">
        <v>420</v>
      </c>
      <c r="C1" s="87" t="s">
        <v>421</v>
      </c>
      <c r="D1" s="87" t="s">
        <v>422</v>
      </c>
    </row>
    <row r="2" spans="1:4" x14ac:dyDescent="0.3">
      <c r="A2" s="54" t="s">
        <v>22</v>
      </c>
      <c r="B2" s="54" t="s">
        <v>23</v>
      </c>
      <c r="C2" s="54" t="s">
        <v>423</v>
      </c>
      <c r="D2" s="54" t="s">
        <v>424</v>
      </c>
    </row>
    <row r="3" spans="1:4" x14ac:dyDescent="0.3">
      <c r="A3" s="54" t="s">
        <v>52</v>
      </c>
      <c r="B3" s="54" t="s">
        <v>53</v>
      </c>
      <c r="C3" s="54" t="s">
        <v>423</v>
      </c>
      <c r="D3" s="54" t="s">
        <v>425</v>
      </c>
    </row>
    <row r="4" spans="1:4" x14ac:dyDescent="0.3">
      <c r="A4" s="54" t="s">
        <v>54</v>
      </c>
      <c r="B4" s="54" t="s">
        <v>426</v>
      </c>
      <c r="C4" s="54" t="s">
        <v>427</v>
      </c>
      <c r="D4" s="54" t="s">
        <v>428</v>
      </c>
    </row>
    <row r="5" spans="1:4" x14ac:dyDescent="0.3">
      <c r="A5" s="54" t="s">
        <v>429</v>
      </c>
      <c r="B5" s="54" t="s">
        <v>430</v>
      </c>
      <c r="C5" s="54" t="s">
        <v>427</v>
      </c>
      <c r="D5" s="54" t="s">
        <v>431</v>
      </c>
    </row>
    <row r="6" spans="1:4" x14ac:dyDescent="0.3">
      <c r="A6" s="54" t="s">
        <v>34</v>
      </c>
      <c r="B6" s="54" t="s">
        <v>35</v>
      </c>
      <c r="C6" s="54" t="s">
        <v>432</v>
      </c>
      <c r="D6" s="54" t="s">
        <v>433</v>
      </c>
    </row>
    <row r="7" spans="1:4" x14ac:dyDescent="0.3">
      <c r="A7" s="54" t="s">
        <v>58</v>
      </c>
      <c r="B7" s="54" t="s">
        <v>59</v>
      </c>
      <c r="C7" s="54" t="s">
        <v>432</v>
      </c>
      <c r="D7" s="54" t="s">
        <v>434</v>
      </c>
    </row>
    <row r="8" spans="1:4" x14ac:dyDescent="0.3">
      <c r="A8" s="54" t="s">
        <v>66</v>
      </c>
      <c r="B8" s="54" t="s">
        <v>67</v>
      </c>
      <c r="C8" s="54" t="s">
        <v>435</v>
      </c>
      <c r="D8" s="54" t="s">
        <v>436</v>
      </c>
    </row>
    <row r="9" spans="1:4" x14ac:dyDescent="0.3">
      <c r="A9" s="54" t="s">
        <v>38</v>
      </c>
      <c r="B9" s="54" t="s">
        <v>437</v>
      </c>
      <c r="C9" s="54" t="s">
        <v>435</v>
      </c>
      <c r="D9" s="54" t="s">
        <v>438</v>
      </c>
    </row>
    <row r="10" spans="1:4" x14ac:dyDescent="0.3">
      <c r="A10" s="9"/>
      <c r="B10" s="9"/>
    </row>
    <row r="11" spans="1:4" x14ac:dyDescent="0.3">
      <c r="A11" s="9"/>
      <c r="B11" s="9"/>
    </row>
    <row r="12" spans="1:4" x14ac:dyDescent="0.3">
      <c r="A12" s="9"/>
      <c r="B12" s="9"/>
    </row>
    <row r="13" spans="1:4" x14ac:dyDescent="0.3">
      <c r="A13" s="3"/>
      <c r="B13" s="3"/>
    </row>
    <row r="14" spans="1:4" x14ac:dyDescent="0.3">
      <c r="A14" s="10"/>
      <c r="B14" s="9"/>
    </row>
    <row r="15" spans="1:4" x14ac:dyDescent="0.3">
      <c r="A15" s="9"/>
      <c r="B15" s="9"/>
    </row>
    <row r="16" spans="1:4" x14ac:dyDescent="0.3">
      <c r="A16" s="9"/>
      <c r="B16" s="9"/>
    </row>
    <row r="17" spans="1:2" x14ac:dyDescent="0.3">
      <c r="A17" s="9"/>
      <c r="B17" s="9"/>
    </row>
    <row r="18" spans="1:2" x14ac:dyDescent="0.3">
      <c r="A18" s="10"/>
      <c r="B18" s="9"/>
    </row>
    <row r="19" spans="1:2" x14ac:dyDescent="0.3">
      <c r="A19" s="10"/>
      <c r="B19" s="9"/>
    </row>
    <row r="20" spans="1:2" x14ac:dyDescent="0.3">
      <c r="A20" s="9"/>
      <c r="B20" s="9"/>
    </row>
    <row r="21" spans="1:2" x14ac:dyDescent="0.3">
      <c r="A21" s="9"/>
      <c r="B21" s="17"/>
    </row>
    <row r="22" spans="1:2" x14ac:dyDescent="0.3">
      <c r="A22" s="9"/>
      <c r="B22" s="9"/>
    </row>
    <row r="23" spans="1:2" x14ac:dyDescent="0.3">
      <c r="A23" s="9"/>
      <c r="B23" s="9"/>
    </row>
    <row r="24" spans="1:2" x14ac:dyDescent="0.3">
      <c r="A24" s="9"/>
      <c r="B24" s="9"/>
    </row>
    <row r="25" spans="1:2" x14ac:dyDescent="0.3">
      <c r="A25" s="9"/>
      <c r="B25" s="9"/>
    </row>
    <row r="26" spans="1:2" x14ac:dyDescent="0.3">
      <c r="A26" s="9"/>
      <c r="B26" s="17"/>
    </row>
    <row r="27" spans="1:2" x14ac:dyDescent="0.3">
      <c r="A27" s="9"/>
      <c r="B27" s="17"/>
    </row>
    <row r="28" spans="1:2" x14ac:dyDescent="0.3">
      <c r="A28" s="9"/>
      <c r="B28" s="26"/>
    </row>
    <row r="29" spans="1:2" x14ac:dyDescent="0.3">
      <c r="A29" s="9"/>
      <c r="B29" s="26"/>
    </row>
    <row r="30" spans="1:2" x14ac:dyDescent="0.3">
      <c r="A30" s="9"/>
      <c r="B30" s="26"/>
    </row>
    <row r="31" spans="1:2" x14ac:dyDescent="0.3">
      <c r="A31" s="31"/>
      <c r="B31" s="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"/>
  <sheetViews>
    <sheetView workbookViewId="0"/>
  </sheetViews>
  <sheetFormatPr baseColWidth="10" defaultColWidth="14.44140625" defaultRowHeight="15" customHeight="1" x14ac:dyDescent="0.3"/>
  <cols>
    <col min="1" max="1" width="3" customWidth="1"/>
    <col min="2" max="2" width="20.109375" customWidth="1"/>
    <col min="3" max="3" width="47.6640625" customWidth="1"/>
    <col min="4" max="4" width="72" customWidth="1"/>
    <col min="5" max="5" width="20.5546875" customWidth="1"/>
    <col min="9" max="9" width="42.109375" customWidth="1"/>
    <col min="10" max="10" width="27.5546875" customWidth="1"/>
  </cols>
  <sheetData>
    <row r="1" spans="1:10" x14ac:dyDescent="0.3">
      <c r="A1" s="88" t="s">
        <v>439</v>
      </c>
      <c r="B1" s="88" t="s">
        <v>440</v>
      </c>
      <c r="C1" s="89" t="s">
        <v>441</v>
      </c>
      <c r="D1" s="89" t="s">
        <v>422</v>
      </c>
      <c r="E1" s="89" t="s">
        <v>442</v>
      </c>
      <c r="F1" s="88" t="s">
        <v>443</v>
      </c>
      <c r="G1" s="88" t="s">
        <v>444</v>
      </c>
      <c r="H1" s="90"/>
      <c r="I1" s="85"/>
      <c r="J1" s="85"/>
    </row>
    <row r="2" spans="1:10" x14ac:dyDescent="0.3">
      <c r="A2" s="91">
        <v>1</v>
      </c>
      <c r="B2" s="91" t="s">
        <v>445</v>
      </c>
      <c r="C2" s="92" t="s">
        <v>446</v>
      </c>
      <c r="D2" s="92" t="s">
        <v>424</v>
      </c>
      <c r="E2" s="92" t="s">
        <v>447</v>
      </c>
      <c r="F2" s="91" t="s">
        <v>448</v>
      </c>
      <c r="G2" s="91" t="s">
        <v>449</v>
      </c>
    </row>
    <row r="3" spans="1:10" x14ac:dyDescent="0.3">
      <c r="A3" s="91">
        <v>2</v>
      </c>
      <c r="B3" s="91" t="s">
        <v>450</v>
      </c>
      <c r="C3" s="92" t="s">
        <v>451</v>
      </c>
      <c r="D3" s="92" t="s">
        <v>425</v>
      </c>
      <c r="E3" s="92" t="s">
        <v>452</v>
      </c>
      <c r="F3" s="91" t="s">
        <v>448</v>
      </c>
      <c r="G3" s="91" t="s">
        <v>453</v>
      </c>
    </row>
    <row r="4" spans="1:10" x14ac:dyDescent="0.3">
      <c r="A4" s="91">
        <v>3</v>
      </c>
      <c r="B4" s="91" t="s">
        <v>454</v>
      </c>
      <c r="C4" s="92" t="s">
        <v>455</v>
      </c>
      <c r="D4" s="92" t="s">
        <v>456</v>
      </c>
      <c r="E4" s="92" t="s">
        <v>457</v>
      </c>
      <c r="F4" s="91" t="s">
        <v>458</v>
      </c>
      <c r="G4" s="91" t="s">
        <v>449</v>
      </c>
    </row>
    <row r="5" spans="1:10" x14ac:dyDescent="0.3">
      <c r="A5" s="91">
        <v>4</v>
      </c>
      <c r="B5" s="91" t="s">
        <v>459</v>
      </c>
      <c r="C5" s="92" t="s">
        <v>460</v>
      </c>
      <c r="D5" s="92" t="s">
        <v>431</v>
      </c>
      <c r="E5" s="92" t="s">
        <v>461</v>
      </c>
      <c r="F5" s="91" t="s">
        <v>462</v>
      </c>
      <c r="G5" s="91" t="s">
        <v>453</v>
      </c>
    </row>
    <row r="6" spans="1:10" x14ac:dyDescent="0.3">
      <c r="A6" s="91">
        <v>5</v>
      </c>
      <c r="B6" s="91" t="s">
        <v>463</v>
      </c>
      <c r="C6" s="92" t="s">
        <v>464</v>
      </c>
      <c r="D6" s="92" t="s">
        <v>465</v>
      </c>
      <c r="E6" s="92" t="s">
        <v>466</v>
      </c>
      <c r="F6" s="91" t="s">
        <v>448</v>
      </c>
      <c r="G6" s="91" t="s">
        <v>453</v>
      </c>
    </row>
    <row r="7" spans="1:10" x14ac:dyDescent="0.3">
      <c r="A7" s="91">
        <v>6</v>
      </c>
      <c r="B7" s="91" t="s">
        <v>467</v>
      </c>
      <c r="C7" s="92" t="s">
        <v>468</v>
      </c>
      <c r="D7" s="92" t="s">
        <v>434</v>
      </c>
      <c r="E7" s="92" t="s">
        <v>466</v>
      </c>
      <c r="F7" s="91" t="s">
        <v>458</v>
      </c>
      <c r="G7" s="91" t="s">
        <v>449</v>
      </c>
    </row>
    <row r="8" spans="1:10" x14ac:dyDescent="0.3">
      <c r="A8" s="91">
        <v>7</v>
      </c>
      <c r="B8" s="91" t="s">
        <v>469</v>
      </c>
      <c r="C8" s="92" t="s">
        <v>470</v>
      </c>
      <c r="D8" s="92" t="s">
        <v>471</v>
      </c>
      <c r="E8" s="92" t="s">
        <v>466</v>
      </c>
      <c r="F8" s="91" t="s">
        <v>448</v>
      </c>
      <c r="G8" s="91" t="s">
        <v>453</v>
      </c>
    </row>
    <row r="9" spans="1:10" x14ac:dyDescent="0.3">
      <c r="A9" s="91">
        <v>8</v>
      </c>
      <c r="B9" s="91" t="s">
        <v>472</v>
      </c>
      <c r="C9" s="92" t="s">
        <v>473</v>
      </c>
      <c r="D9" s="92" t="s">
        <v>474</v>
      </c>
      <c r="E9" s="92" t="s">
        <v>475</v>
      </c>
      <c r="F9" s="91" t="s">
        <v>458</v>
      </c>
      <c r="G9" s="91" t="s">
        <v>449</v>
      </c>
    </row>
    <row r="10" spans="1:10" x14ac:dyDescent="0.3">
      <c r="A10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BackLog de Producto</vt:lpstr>
      <vt:lpstr>Sprints</vt:lpstr>
      <vt:lpstr>Tabla Complejidad</vt:lpstr>
      <vt:lpstr>HUG</vt:lpstr>
      <vt:lpstr>Costos</vt:lpstr>
      <vt:lpstr>Riesgos</vt:lpstr>
      <vt:lpstr>Identificación de Riesgos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RHONY DANIEL MARTINEZ BENAVIDES</cp:lastModifiedBy>
  <dcterms:modified xsi:type="dcterms:W3CDTF">2025-10-04T22:43:42Z</dcterms:modified>
</cp:coreProperties>
</file>